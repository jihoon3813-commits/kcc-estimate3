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01-1. KCC\3. 견적\7. 견적 발송프로그램(PLUS)\1. 수원\1. 가견적(excel)_수원\"/>
    </mc:Choice>
  </mc:AlternateContent>
  <xr:revisionPtr revIDLastSave="0" documentId="8_{DE611D64-639D-411E-A7DF-8B9F2B19EDAB}" xr6:coauthVersionLast="47" xr6:coauthVersionMax="47" xr10:uidLastSave="{00000000-0000-0000-0000-000000000000}"/>
  <bookViews>
    <workbookView xWindow="66255" yWindow="300" windowWidth="31590" windowHeight="20430" xr2:uid="{00000000-000D-0000-FFFF-FFFF00000000}"/>
  </bookViews>
  <sheets>
    <sheet name="견적서" sheetId="4" r:id="rId1"/>
    <sheet name="견적서 (2)" sheetId="5" r:id="rId2"/>
  </sheets>
  <externalReferences>
    <externalReference r:id="rId3"/>
    <externalReference r:id="rId4"/>
  </externalReferences>
  <definedNames>
    <definedName name="_303" localSheetId="0">#REF!</definedName>
    <definedName name="_303" localSheetId="1">#REF!</definedName>
    <definedName name="_303">#REF!</definedName>
    <definedName name="_3034" localSheetId="0">'[1]한샘 유로인쇄용'!#REF!</definedName>
    <definedName name="_3034" localSheetId="1">'[1]한샘 유로인쇄용'!#REF!</definedName>
    <definedName name="_3034">'[1]한샘 유로인쇄용'!#REF!</definedName>
    <definedName name="KCC단가1">[2]KCC단가!$A$2:$M$642</definedName>
    <definedName name="_xlnm.Print_Area" localSheetId="0">견적서!$B$1:$T$78</definedName>
    <definedName name="_xlnm.Print_Area" localSheetId="1">'견적서 (2)'!$B$1:$T$78</definedName>
    <definedName name="공용">[2]공용자재!$A$3:$M$638</definedName>
    <definedName name="윈체B2C">[2]B2C원자재!$C$7:$N$260</definedName>
    <definedName name="윈체단가">'[2]윈체(원)'!$B$10:$P$2720</definedName>
    <definedName name="이건단가">[2]이건단가!$A$4:$M$2000</definedName>
    <definedName name="한샘단가">[2]한샘단가!$A$3:$S$2509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8" i="5" l="1"/>
  <c r="T65" i="5"/>
  <c r="T62" i="5"/>
  <c r="T59" i="5"/>
  <c r="T56" i="5"/>
  <c r="T53" i="5"/>
  <c r="T50" i="5"/>
  <c r="T47" i="5"/>
  <c r="T44" i="5"/>
  <c r="T41" i="5"/>
  <c r="T38" i="5"/>
  <c r="T35" i="5"/>
  <c r="T32" i="5"/>
  <c r="T29" i="5"/>
  <c r="T26" i="5"/>
  <c r="T23" i="5"/>
  <c r="T20" i="5"/>
  <c r="T17" i="5"/>
  <c r="T14" i="5"/>
  <c r="T71" i="5" s="1"/>
  <c r="T53" i="4"/>
  <c r="T50" i="4"/>
  <c r="T47" i="4"/>
  <c r="T44" i="4"/>
  <c r="T41" i="4"/>
  <c r="T38" i="4"/>
  <c r="T35" i="4"/>
  <c r="T32" i="4"/>
  <c r="T29" i="4"/>
  <c r="T26" i="4"/>
  <c r="T23" i="4"/>
  <c r="T20" i="4"/>
  <c r="T17" i="4"/>
  <c r="T14" i="4"/>
  <c r="T71" i="4" s="1"/>
  <c r="T72" i="5" l="1"/>
  <c r="D9" i="5" s="1"/>
  <c r="T72" i="4"/>
  <c r="D9" i="4" s="1"/>
</calcChain>
</file>

<file path=xl/sharedStrings.xml><?xml version="1.0" encoding="utf-8"?>
<sst xmlns="http://schemas.openxmlformats.org/spreadsheetml/2006/main" count="2080" uniqueCount="159">
  <si>
    <t/>
  </si>
  <si>
    <t>창호견적번호</t>
  </si>
  <si>
    <t>2. 창호 상세 견적사항</t>
  </si>
  <si>
    <t>순번</t>
  </si>
  <si>
    <t>설치위치</t>
  </si>
  <si>
    <t>모델명</t>
  </si>
  <si>
    <t>창형태</t>
  </si>
  <si>
    <t>길이(W)</t>
  </si>
  <si>
    <t>내부 랩핑</t>
  </si>
  <si>
    <t>수량</t>
  </si>
  <si>
    <t>방
충
망</t>
  </si>
  <si>
    <t>배
수
홀</t>
  </si>
  <si>
    <t>외부 랩핑</t>
  </si>
  <si>
    <t>잠금장치</t>
    <phoneticPr fontId="2" type="noConversion"/>
  </si>
  <si>
    <t>내부 유리종류</t>
    <phoneticPr fontId="2" type="noConversion"/>
  </si>
  <si>
    <t>외부 유리종류</t>
    <phoneticPr fontId="2" type="noConversion"/>
  </si>
  <si>
    <t>3. 기타 현장 특이사항(직접입력)</t>
    <phoneticPr fontId="2" type="noConversion"/>
  </si>
  <si>
    <t>견적서</t>
    <phoneticPr fontId="2" type="noConversion"/>
  </si>
  <si>
    <t>견적유효기간</t>
    <phoneticPr fontId="2" type="noConversion"/>
  </si>
  <si>
    <t>1개월</t>
    <phoneticPr fontId="2" type="noConversion"/>
  </si>
  <si>
    <t>계</t>
    <phoneticPr fontId="2" type="noConversion"/>
  </si>
  <si>
    <t>1. 기본정보</t>
    <phoneticPr fontId="2" type="noConversion"/>
  </si>
  <si>
    <t>시공예정일</t>
    <phoneticPr fontId="2" type="noConversion"/>
  </si>
  <si>
    <t>공급받는자</t>
    <phoneticPr fontId="2" type="noConversion"/>
  </si>
  <si>
    <t>현장주소</t>
    <phoneticPr fontId="2" type="noConversion"/>
  </si>
  <si>
    <t>금액 총계</t>
    <phoneticPr fontId="2" type="noConversion"/>
  </si>
  <si>
    <t>공급자</t>
    <phoneticPr fontId="2" type="noConversion"/>
  </si>
  <si>
    <t>대표자</t>
    <phoneticPr fontId="2" type="noConversion"/>
  </si>
  <si>
    <t>담당자</t>
    <phoneticPr fontId="2" type="noConversion"/>
  </si>
  <si>
    <t>사업자번호</t>
    <phoneticPr fontId="2" type="noConversion"/>
  </si>
  <si>
    <t>주소</t>
    <phoneticPr fontId="2" type="noConversion"/>
  </si>
  <si>
    <t>연락처</t>
    <phoneticPr fontId="2" type="noConversion"/>
  </si>
  <si>
    <t>금액</t>
    <phoneticPr fontId="2" type="noConversion"/>
  </si>
  <si>
    <t>시공 유/무</t>
    <phoneticPr fontId="2" type="noConversion"/>
  </si>
  <si>
    <t>제품명</t>
    <phoneticPr fontId="2" type="noConversion"/>
  </si>
  <si>
    <t>부가세</t>
    <phoneticPr fontId="2" type="noConversion"/>
  </si>
  <si>
    <t>내부
유리두께</t>
  </si>
  <si>
    <t>외부
유리두께</t>
  </si>
  <si>
    <t>잠금장치 높이</t>
    <phoneticPr fontId="2" type="noConversion"/>
  </si>
  <si>
    <t>옵션1</t>
    <phoneticPr fontId="2" type="noConversion"/>
  </si>
  <si>
    <t>옵션2</t>
    <phoneticPr fontId="2" type="noConversion"/>
  </si>
  <si>
    <t>길이(W2)</t>
    <phoneticPr fontId="2" type="noConversion"/>
  </si>
  <si>
    <t>높이(H1)</t>
    <phoneticPr fontId="2" type="noConversion"/>
  </si>
  <si>
    <t>높이(H2)</t>
  </si>
  <si>
    <t>높이(H)</t>
    <phoneticPr fontId="2" type="noConversion"/>
  </si>
  <si>
    <t>길이(W1)</t>
    <phoneticPr fontId="2" type="noConversion"/>
  </si>
  <si>
    <t>최종견적일</t>
    <phoneticPr fontId="2" type="noConversion"/>
  </si>
  <si>
    <t>900000-005182-086-003</t>
  </si>
  <si>
    <t>26-01-16</t>
  </si>
  <si>
    <t>케이씨씨글라스</t>
  </si>
  <si>
    <t>401-87-01412</t>
  </si>
  <si>
    <t>변종오 외1</t>
  </si>
  <si>
    <t>서울특별시 서초구 강남대로 587</t>
  </si>
  <si>
    <t>O</t>
  </si>
  <si>
    <t>02-2015-8500</t>
  </si>
  <si>
    <t>1</t>
  </si>
  <si>
    <t>앞발코니1</t>
  </si>
  <si>
    <t>발코니창141</t>
  </si>
  <si>
    <t>HW ONE_HBF141S</t>
  </si>
  <si>
    <t>3W(1:2:1)</t>
  </si>
  <si>
    <t>4300</t>
  </si>
  <si>
    <t>2250</t>
  </si>
  <si>
    <t>WH</t>
  </si>
  <si>
    <t>26</t>
  </si>
  <si>
    <t>26T 컬러로이+투명n</t>
  </si>
  <si>
    <t>L-PLUS_N HANDLE (대)</t>
  </si>
  <si>
    <t>X</t>
  </si>
  <si>
    <t>AL</t>
  </si>
  <si>
    <t>N</t>
  </si>
  <si>
    <t xml:space="preserve"> </t>
  </si>
  <si>
    <t>비고</t>
  </si>
  <si>
    <t>단열</t>
  </si>
  <si>
    <t>최종계산일</t>
  </si>
  <si>
    <t>2026.01.16</t>
  </si>
  <si>
    <t>2</t>
  </si>
  <si>
    <t>앞발코니2</t>
  </si>
  <si>
    <t>2W(1:2)</t>
  </si>
  <si>
    <t>3900</t>
  </si>
  <si>
    <t>우</t>
  </si>
  <si>
    <t>3</t>
  </si>
  <si>
    <t>거실분합</t>
  </si>
  <si>
    <t>공틀창225</t>
  </si>
  <si>
    <t>HW ONE_BF225TM</t>
  </si>
  <si>
    <t>2W(U/B)</t>
  </si>
  <si>
    <t>3550</t>
  </si>
  <si>
    <t>2350</t>
  </si>
  <si>
    <t>22</t>
  </si>
  <si>
    <t>22T 투명+로이n</t>
  </si>
  <si>
    <t>L-PLUS_N 반자동 HANDLE (대)</t>
  </si>
  <si>
    <t>800</t>
  </si>
  <si>
    <t>4</t>
  </si>
  <si>
    <t>안방내창</t>
  </si>
  <si>
    <t>3000</t>
  </si>
  <si>
    <t>1750</t>
  </si>
  <si>
    <t>5</t>
  </si>
  <si>
    <t>방2 외부단창</t>
  </si>
  <si>
    <t>2W</t>
  </si>
  <si>
    <t>2450</t>
  </si>
  <si>
    <t>1270</t>
  </si>
  <si>
    <t>L-PLUS_N HANDLE (중)</t>
  </si>
  <si>
    <t>6</t>
  </si>
  <si>
    <t>방2 분합창</t>
  </si>
  <si>
    <t>2650</t>
  </si>
  <si>
    <t>2300</t>
  </si>
  <si>
    <t>22T 투명+투명n</t>
  </si>
  <si>
    <t>7</t>
  </si>
  <si>
    <t>주방창</t>
  </si>
  <si>
    <t>일반이중창230</t>
  </si>
  <si>
    <t>HW ONE_BF230R</t>
  </si>
  <si>
    <t>1150</t>
  </si>
  <si>
    <t>500</t>
  </si>
  <si>
    <t>GRIP(C) HANDLE</t>
  </si>
  <si>
    <t>22T 컬러로이+투명n</t>
  </si>
  <si>
    <t>8</t>
  </si>
  <si>
    <t>입구방내창</t>
  </si>
  <si>
    <t>1500</t>
  </si>
  <si>
    <t>1200</t>
  </si>
  <si>
    <t>9</t>
  </si>
  <si>
    <t>뒷발코니1</t>
  </si>
  <si>
    <t>1070</t>
  </si>
  <si>
    <t>1260</t>
  </si>
  <si>
    <t>STS(BL)</t>
  </si>
  <si>
    <t>10</t>
  </si>
  <si>
    <t>뒷발코니2 FIX</t>
  </si>
  <si>
    <t>고정창</t>
  </si>
  <si>
    <t>HW ONE_고정창</t>
  </si>
  <si>
    <t>CB-90+FM - 45면 유리</t>
  </si>
  <si>
    <t>850</t>
  </si>
  <si>
    <t>24</t>
  </si>
  <si>
    <t>24T 컬러로이+투명n</t>
  </si>
  <si>
    <t>11</t>
  </si>
  <si>
    <t>뒷발코니3 FIX</t>
  </si>
  <si>
    <t>950</t>
  </si>
  <si>
    <t>12</t>
  </si>
  <si>
    <t>뒷발코니</t>
  </si>
  <si>
    <t>통바/공틀</t>
  </si>
  <si>
    <t>HW ONE_CB-100*45</t>
  </si>
  <si>
    <t>통바 시공용</t>
  </si>
  <si>
    <t>13</t>
  </si>
  <si>
    <t>전면발코니</t>
  </si>
  <si>
    <t>HW ONE_CB-101*100</t>
  </si>
  <si>
    <t>14</t>
  </si>
  <si>
    <t>HW ONE_CB-45*45</t>
  </si>
  <si>
    <t>15</t>
  </si>
  <si>
    <t>기타견적</t>
  </si>
  <si>
    <t>철거(PVC혼용)</t>
  </si>
  <si>
    <t>16</t>
  </si>
  <si>
    <t>양중(사다리)</t>
  </si>
  <si>
    <t>17</t>
  </si>
  <si>
    <t>타일(전면)</t>
  </si>
  <si>
    <t>18</t>
  </si>
  <si>
    <t>몰딩</t>
  </si>
  <si>
    <t>19</t>
  </si>
  <si>
    <t>보양</t>
  </si>
  <si>
    <t>현장구분:일반 / 거주구분:비거주</t>
  </si>
  <si>
    <t>김기홍님(안방공틀)</t>
    <phoneticPr fontId="2" type="noConversion"/>
  </si>
  <si>
    <t>고양시 일산서구 일산동 1997 탄현1차 주은아파트 101동 1102호</t>
    <phoneticPr fontId="2" type="noConversion"/>
  </si>
  <si>
    <t>오영진</t>
    <phoneticPr fontId="2" type="noConversion"/>
  </si>
  <si>
    <t>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</si>
</sst>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(부가세포함)&quot;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indexed="62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굴림체"/>
      <family val="2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3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4">
    <xf numFmtId="0" fontId="0" fillId="0" borderId="0">
      <alignment vertical="center"/>
    </xf>
    <xf numFmtId="0" fontId="4" fillId="0" borderId="0">
      <alignment vertical="top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" fillId="0" borderId="0">
      <alignment vertical="center"/>
    </xf>
    <xf numFmtId="0" fontId="28" fillId="0" borderId="0"/>
    <xf numFmtId="41" fontId="2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7" fillId="0" borderId="0"/>
    <xf numFmtId="41" fontId="2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3" fillId="0" borderId="23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28" xfId="0" applyNumberFormat="1" applyFont="1" applyBorder="1" applyAlignment="1">
      <alignment vertical="center" wrapText="1"/>
    </xf>
    <xf numFmtId="49" fontId="3" fillId="0" borderId="22" xfId="0" applyNumberFormat="1" applyFont="1" applyBorder="1" applyAlignment="1">
      <alignment vertical="center" wrapText="1"/>
    </xf>
    <xf numFmtId="49" fontId="3" fillId="0" borderId="25" xfId="0" applyNumberFormat="1" applyFont="1" applyBorder="1" applyAlignment="1">
      <alignment vertical="center" wrapText="1"/>
    </xf>
    <xf numFmtId="49" fontId="3" fillId="0" borderId="27" xfId="0" applyNumberFormat="1" applyFont="1" applyBorder="1" applyAlignment="1">
      <alignment vertical="center" wrapText="1"/>
    </xf>
    <xf numFmtId="0" fontId="9" fillId="0" borderId="0" xfId="0" applyFont="1">
      <alignment vertical="center"/>
    </xf>
    <xf numFmtId="0" fontId="6" fillId="0" borderId="24" xfId="0" applyFont="1" applyBorder="1">
      <alignment vertical="center"/>
    </xf>
    <xf numFmtId="0" fontId="6" fillId="0" borderId="0" xfId="0" applyFont="1">
      <alignment vertical="center"/>
    </xf>
    <xf numFmtId="0" fontId="6" fillId="0" borderId="26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8" xfId="0" applyFont="1" applyBorder="1">
      <alignment vertical="center"/>
    </xf>
    <xf numFmtId="49" fontId="29" fillId="0" borderId="19" xfId="0" applyNumberFormat="1" applyFont="1" applyBorder="1" applyAlignment="1">
      <alignment horizontal="center" vertical="center" wrapText="1"/>
    </xf>
    <xf numFmtId="49" fontId="29" fillId="0" borderId="19" xfId="0" applyNumberFormat="1" applyFont="1" applyBorder="1" applyAlignment="1">
      <alignment vertical="center" wrapText="1"/>
    </xf>
    <xf numFmtId="49" fontId="29" fillId="36" borderId="14" xfId="0" applyNumberFormat="1" applyFont="1" applyFill="1" applyBorder="1" applyAlignment="1">
      <alignment horizontal="center" vertical="center" wrapText="1"/>
    </xf>
    <xf numFmtId="49" fontId="29" fillId="36" borderId="21" xfId="0" applyNumberFormat="1" applyFont="1" applyFill="1" applyBorder="1" applyAlignment="1">
      <alignment horizontal="center" vertical="center" wrapText="1"/>
    </xf>
    <xf numFmtId="49" fontId="29" fillId="34" borderId="21" xfId="0" applyNumberFormat="1" applyFont="1" applyFill="1" applyBorder="1" applyAlignment="1">
      <alignment horizontal="center" vertical="center" wrapText="1"/>
    </xf>
    <xf numFmtId="49" fontId="29" fillId="0" borderId="18" xfId="0" applyNumberFormat="1" applyFont="1" applyBorder="1" applyAlignment="1">
      <alignment horizontal="left" vertical="center" wrapText="1"/>
    </xf>
    <xf numFmtId="49" fontId="29" fillId="0" borderId="18" xfId="0" applyNumberFormat="1" applyFont="1" applyBorder="1" applyAlignment="1">
      <alignment horizontal="center" vertical="center" wrapText="1"/>
    </xf>
    <xf numFmtId="49" fontId="29" fillId="36" borderId="10" xfId="0" applyNumberFormat="1" applyFont="1" applyFill="1" applyBorder="1" applyAlignment="1">
      <alignment horizontal="center" vertical="center" wrapText="1"/>
    </xf>
    <xf numFmtId="49" fontId="29" fillId="36" borderId="10" xfId="0" applyNumberFormat="1" applyFont="1" applyFill="1" applyBorder="1" applyAlignment="1">
      <alignment horizontal="center" vertical="center"/>
    </xf>
    <xf numFmtId="49" fontId="29" fillId="36" borderId="20" xfId="0" applyNumberFormat="1" applyFont="1" applyFill="1" applyBorder="1" applyAlignment="1">
      <alignment horizontal="center" vertical="center" wrapText="1"/>
    </xf>
    <xf numFmtId="49" fontId="29" fillId="36" borderId="20" xfId="0" applyNumberFormat="1" applyFont="1" applyFill="1" applyBorder="1" applyAlignment="1">
      <alignment horizontal="center" vertical="center"/>
    </xf>
    <xf numFmtId="49" fontId="29" fillId="0" borderId="11" xfId="0" applyNumberFormat="1" applyFont="1" applyBorder="1" applyAlignment="1">
      <alignment horizontal="left" vertical="center"/>
    </xf>
    <xf numFmtId="49" fontId="29" fillId="0" borderId="12" xfId="0" applyNumberFormat="1" applyFont="1" applyBorder="1" applyAlignment="1">
      <alignment horizontal="left" vertical="center"/>
    </xf>
    <xf numFmtId="49" fontId="29" fillId="0" borderId="12" xfId="0" applyNumberFormat="1" applyFont="1" applyBorder="1" applyAlignment="1">
      <alignment horizontal="left" vertical="center" wrapText="1"/>
    </xf>
    <xf numFmtId="49" fontId="29" fillId="0" borderId="12" xfId="0" applyNumberFormat="1" applyFont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 wrapText="1"/>
    </xf>
    <xf numFmtId="49" fontId="29" fillId="36" borderId="30" xfId="0" applyNumberFormat="1" applyFont="1" applyFill="1" applyBorder="1" applyAlignment="1">
      <alignment horizontal="center" vertical="center" wrapText="1"/>
    </xf>
    <xf numFmtId="49" fontId="29" fillId="36" borderId="33" xfId="0" applyNumberFormat="1" applyFont="1" applyFill="1" applyBorder="1" applyAlignment="1">
      <alignment vertical="center" wrapText="1"/>
    </xf>
    <xf numFmtId="49" fontId="29" fillId="36" borderId="39" xfId="0" applyNumberFormat="1" applyFont="1" applyFill="1" applyBorder="1" applyAlignment="1">
      <alignment horizontal="center" vertical="center" wrapText="1"/>
    </xf>
    <xf numFmtId="49" fontId="29" fillId="36" borderId="40" xfId="0" applyNumberFormat="1" applyFont="1" applyFill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3" fontId="34" fillId="0" borderId="41" xfId="0" applyNumberFormat="1" applyFont="1" applyBorder="1" applyAlignment="1">
      <alignment horizontal="right" vertical="center"/>
    </xf>
    <xf numFmtId="0" fontId="36" fillId="0" borderId="42" xfId="0" applyFont="1" applyBorder="1" applyAlignment="1">
      <alignment horizontal="left" vertical="center"/>
    </xf>
    <xf numFmtId="0" fontId="37" fillId="0" borderId="43" xfId="0" applyFont="1" applyBorder="1" applyAlignment="1">
      <alignment horizontal="left" vertical="center"/>
    </xf>
    <xf numFmtId="0" fontId="38" fillId="37" borderId="41" xfId="0" applyFont="1" applyFill="1" applyBorder="1" applyAlignment="1">
      <alignment horizontal="center" vertical="center" wrapText="1"/>
    </xf>
    <xf numFmtId="49" fontId="29" fillId="36" borderId="30" xfId="0" applyNumberFormat="1" applyFont="1" applyFill="1" applyBorder="1" applyAlignment="1">
      <alignment horizontal="center" vertical="center" wrapText="1"/>
    </xf>
    <xf numFmtId="49" fontId="29" fillId="36" borderId="31" xfId="0" applyNumberFormat="1" applyFont="1" applyFill="1" applyBorder="1" applyAlignment="1">
      <alignment horizontal="center" vertical="center" wrapText="1"/>
    </xf>
    <xf numFmtId="49" fontId="29" fillId="36" borderId="19" xfId="0" applyNumberFormat="1" applyFont="1" applyFill="1" applyBorder="1" applyAlignment="1">
      <alignment horizontal="center" vertical="center" wrapText="1"/>
    </xf>
    <xf numFmtId="49" fontId="29" fillId="34" borderId="21" xfId="0" applyNumberFormat="1" applyFont="1" applyFill="1" applyBorder="1" applyAlignment="1">
      <alignment horizontal="center" vertical="center" wrapText="1"/>
    </xf>
    <xf numFmtId="49" fontId="29" fillId="36" borderId="13" xfId="0" applyNumberFormat="1" applyFont="1" applyFill="1" applyBorder="1" applyAlignment="1">
      <alignment horizontal="center" vertical="center" wrapText="1"/>
    </xf>
    <xf numFmtId="49" fontId="29" fillId="36" borderId="35" xfId="0" applyNumberFormat="1" applyFont="1" applyFill="1" applyBorder="1" applyAlignment="1">
      <alignment horizontal="center" vertical="center" wrapText="1"/>
    </xf>
    <xf numFmtId="49" fontId="29" fillId="36" borderId="37" xfId="0" applyNumberFormat="1" applyFont="1" applyFill="1" applyBorder="1" applyAlignment="1">
      <alignment horizontal="center" vertical="center" wrapText="1"/>
    </xf>
    <xf numFmtId="49" fontId="29" fillId="36" borderId="38" xfId="0" applyNumberFormat="1" applyFont="1" applyFill="1" applyBorder="1" applyAlignment="1">
      <alignment horizontal="center" vertical="center" wrapText="1"/>
    </xf>
    <xf numFmtId="49" fontId="29" fillId="36" borderId="20" xfId="0" applyNumberFormat="1" applyFont="1" applyFill="1" applyBorder="1" applyAlignment="1">
      <alignment horizontal="center" vertical="center" wrapText="1"/>
    </xf>
    <xf numFmtId="49" fontId="29" fillId="36" borderId="11" xfId="0" applyNumberFormat="1" applyFont="1" applyFill="1" applyBorder="1" applyAlignment="1">
      <alignment horizontal="center" vertical="center" wrapText="1"/>
    </xf>
    <xf numFmtId="49" fontId="29" fillId="36" borderId="21" xfId="0" applyNumberFormat="1" applyFont="1" applyFill="1" applyBorder="1" applyAlignment="1">
      <alignment horizontal="center" vertical="center" wrapText="1"/>
    </xf>
    <xf numFmtId="49" fontId="29" fillId="36" borderId="17" xfId="0" applyNumberFormat="1" applyFont="1" applyFill="1" applyBorder="1" applyAlignment="1">
      <alignment horizontal="center" vertical="center" wrapText="1"/>
    </xf>
    <xf numFmtId="176" fontId="35" fillId="0" borderId="41" xfId="0" applyNumberFormat="1" applyFont="1" applyBorder="1" applyAlignment="1">
      <alignment horizontal="center" vertical="center"/>
    </xf>
    <xf numFmtId="49" fontId="29" fillId="34" borderId="19" xfId="0" applyNumberFormat="1" applyFont="1" applyFill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29" fillId="0" borderId="30" xfId="0" applyNumberFormat="1" applyFont="1" applyBorder="1" applyAlignment="1">
      <alignment horizontal="left" vertical="center" wrapText="1"/>
    </xf>
    <xf numFmtId="49" fontId="29" fillId="0" borderId="19" xfId="0" applyNumberFormat="1" applyFont="1" applyBorder="1" applyAlignment="1">
      <alignment horizontal="left" vertical="center" wrapText="1"/>
    </xf>
    <xf numFmtId="49" fontId="29" fillId="34" borderId="36" xfId="0" applyNumberFormat="1" applyFont="1" applyFill="1" applyBorder="1" applyAlignment="1">
      <alignment horizontal="center" vertical="center" wrapText="1"/>
    </xf>
    <xf numFmtId="49" fontId="29" fillId="0" borderId="30" xfId="0" applyNumberFormat="1" applyFont="1" applyBorder="1" applyAlignment="1">
      <alignment horizontal="center" vertical="center" wrapText="1"/>
    </xf>
    <xf numFmtId="49" fontId="29" fillId="0" borderId="19" xfId="0" applyNumberFormat="1" applyFont="1" applyBorder="1" applyAlignment="1">
      <alignment horizontal="center" vertical="center" wrapText="1"/>
    </xf>
    <xf numFmtId="49" fontId="29" fillId="0" borderId="31" xfId="0" applyNumberFormat="1" applyFont="1" applyBorder="1" applyAlignment="1">
      <alignment horizontal="center" vertical="center" wrapText="1"/>
    </xf>
    <xf numFmtId="49" fontId="29" fillId="34" borderId="30" xfId="0" applyNumberFormat="1" applyFont="1" applyFill="1" applyBorder="1" applyAlignment="1">
      <alignment horizontal="center" vertical="center" wrapText="1"/>
    </xf>
    <xf numFmtId="49" fontId="29" fillId="34" borderId="31" xfId="0" applyNumberFormat="1" applyFont="1" applyFill="1" applyBorder="1" applyAlignment="1">
      <alignment horizontal="center" vertical="center" wrapText="1"/>
    </xf>
    <xf numFmtId="49" fontId="29" fillId="0" borderId="15" xfId="0" applyNumberFormat="1" applyFont="1" applyBorder="1" applyAlignment="1">
      <alignment horizontal="left" vertical="center" wrapText="1"/>
    </xf>
    <xf numFmtId="49" fontId="29" fillId="0" borderId="18" xfId="0" applyNumberFormat="1" applyFont="1" applyBorder="1" applyAlignment="1">
      <alignment horizontal="left" vertical="center" wrapText="1"/>
    </xf>
    <xf numFmtId="49" fontId="29" fillId="36" borderId="14" xfId="0" applyNumberFormat="1" applyFont="1" applyFill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3" fontId="34" fillId="0" borderId="41" xfId="0" applyNumberFormat="1" applyFont="1" applyBorder="1" applyAlignment="1">
      <alignment horizontal="right" vertical="center"/>
    </xf>
    <xf numFmtId="0" fontId="33" fillId="0" borderId="41" xfId="0" applyFont="1" applyBorder="1" applyAlignment="1">
      <alignment horizontal="left" vertical="center"/>
    </xf>
    <xf numFmtId="49" fontId="30" fillId="33" borderId="30" xfId="0" applyNumberFormat="1" applyFont="1" applyFill="1" applyBorder="1" applyAlignment="1">
      <alignment horizontal="center" vertical="center" wrapText="1"/>
    </xf>
    <xf numFmtId="49" fontId="30" fillId="33" borderId="19" xfId="0" applyNumberFormat="1" applyFont="1" applyFill="1" applyBorder="1" applyAlignment="1">
      <alignment horizontal="center" vertical="center" wrapText="1"/>
    </xf>
    <xf numFmtId="49" fontId="30" fillId="33" borderId="31" xfId="0" applyNumberFormat="1" applyFont="1" applyFill="1" applyBorder="1" applyAlignment="1">
      <alignment horizontal="center" vertical="center" wrapText="1"/>
    </xf>
    <xf numFmtId="49" fontId="30" fillId="0" borderId="21" xfId="0" applyNumberFormat="1" applyFont="1" applyBorder="1" applyAlignment="1">
      <alignment horizontal="center" vertical="center" wrapText="1"/>
    </xf>
    <xf numFmtId="3" fontId="34" fillId="0" borderId="44" xfId="0" applyNumberFormat="1" applyFont="1" applyBorder="1" applyAlignment="1">
      <alignment horizontal="right" vertical="center"/>
    </xf>
    <xf numFmtId="3" fontId="34" fillId="0" borderId="45" xfId="0" applyNumberFormat="1" applyFont="1" applyBorder="1" applyAlignment="1">
      <alignment horizontal="right" vertical="center"/>
    </xf>
    <xf numFmtId="3" fontId="34" fillId="0" borderId="46" xfId="0" applyNumberFormat="1" applyFont="1" applyBorder="1" applyAlignment="1">
      <alignment horizontal="right" vertical="center"/>
    </xf>
    <xf numFmtId="0" fontId="31" fillId="0" borderId="41" xfId="0" applyFont="1" applyBorder="1" applyAlignment="1">
      <alignment horizontal="center" vertical="center" wrapText="1"/>
    </xf>
  </cellXfs>
  <cellStyles count="114">
    <cellStyle name="20% - 강조색1 2" xfId="10" xr:uid="{00000000-0005-0000-0000-000000000000}"/>
    <cellStyle name="20% - 강조색2 2" xfId="11" xr:uid="{00000000-0005-0000-0000-000001000000}"/>
    <cellStyle name="20% - 강조색3 2" xfId="12" xr:uid="{00000000-0005-0000-0000-000002000000}"/>
    <cellStyle name="20% - 강조색4 2" xfId="13" xr:uid="{00000000-0005-0000-0000-000003000000}"/>
    <cellStyle name="20% - 강조색4 3" xfId="14" xr:uid="{00000000-0005-0000-0000-000004000000}"/>
    <cellStyle name="20% - 강조색5 2" xfId="15" xr:uid="{00000000-0005-0000-0000-000005000000}"/>
    <cellStyle name="20% - 강조색6 2" xfId="16" xr:uid="{00000000-0005-0000-0000-000006000000}"/>
    <cellStyle name="40% - 강조색1 2" xfId="17" xr:uid="{00000000-0005-0000-0000-000007000000}"/>
    <cellStyle name="40% - 강조색2 2" xfId="18" xr:uid="{00000000-0005-0000-0000-000008000000}"/>
    <cellStyle name="40% - 강조색3 2" xfId="19" xr:uid="{00000000-0005-0000-0000-000009000000}"/>
    <cellStyle name="40% - 강조색4 2" xfId="20" xr:uid="{00000000-0005-0000-0000-00000A000000}"/>
    <cellStyle name="40% - 강조색5 2" xfId="21" xr:uid="{00000000-0005-0000-0000-00000B000000}"/>
    <cellStyle name="40% - 강조색6 2" xfId="22" xr:uid="{00000000-0005-0000-0000-00000C000000}"/>
    <cellStyle name="60% - 강조색1 2" xfId="23" xr:uid="{00000000-0005-0000-0000-00000D000000}"/>
    <cellStyle name="60% - 강조색2 2" xfId="24" xr:uid="{00000000-0005-0000-0000-00000E000000}"/>
    <cellStyle name="60% - 강조색3 2" xfId="25" xr:uid="{00000000-0005-0000-0000-00000F000000}"/>
    <cellStyle name="60% - 강조색4 2" xfId="26" xr:uid="{00000000-0005-0000-0000-000010000000}"/>
    <cellStyle name="60% - 강조색5 2" xfId="27" xr:uid="{00000000-0005-0000-0000-000011000000}"/>
    <cellStyle name="60% - 강조색6 2" xfId="28" xr:uid="{00000000-0005-0000-0000-000012000000}"/>
    <cellStyle name="강조색1 2" xfId="29" xr:uid="{00000000-0005-0000-0000-000013000000}"/>
    <cellStyle name="강조색2 2" xfId="30" xr:uid="{00000000-0005-0000-0000-000014000000}"/>
    <cellStyle name="강조색3 2" xfId="31" xr:uid="{00000000-0005-0000-0000-000015000000}"/>
    <cellStyle name="강조색4 2" xfId="32" xr:uid="{00000000-0005-0000-0000-000016000000}"/>
    <cellStyle name="강조색5 2" xfId="33" xr:uid="{00000000-0005-0000-0000-000017000000}"/>
    <cellStyle name="강조색6 2" xfId="34" xr:uid="{00000000-0005-0000-0000-000018000000}"/>
    <cellStyle name="경고문 2" xfId="35" xr:uid="{00000000-0005-0000-0000-000019000000}"/>
    <cellStyle name="계산 2" xfId="36" xr:uid="{00000000-0005-0000-0000-00001A000000}"/>
    <cellStyle name="나쁨 2" xfId="37" xr:uid="{00000000-0005-0000-0000-00001B000000}"/>
    <cellStyle name="메모 2" xfId="38" xr:uid="{00000000-0005-0000-0000-00001C000000}"/>
    <cellStyle name="백분율 2" xfId="9" xr:uid="{00000000-0005-0000-0000-00001D000000}"/>
    <cellStyle name="백분율 2 2" xfId="61" xr:uid="{00000000-0005-0000-0000-00001E000000}"/>
    <cellStyle name="백분율 2 3" xfId="72" xr:uid="{00000000-0005-0000-0000-00001F000000}"/>
    <cellStyle name="백분율 2 3 2" xfId="104" xr:uid="{00000000-0005-0000-0000-000020000000}"/>
    <cellStyle name="백분율 2 4" xfId="73" xr:uid="{00000000-0005-0000-0000-000021000000}"/>
    <cellStyle name="백분율 2 4 2" xfId="94" xr:uid="{00000000-0005-0000-0000-000022000000}"/>
    <cellStyle name="백분율 3" xfId="39" xr:uid="{00000000-0005-0000-0000-000023000000}"/>
    <cellStyle name="백분율 3 2" xfId="82" xr:uid="{00000000-0005-0000-0000-000024000000}"/>
    <cellStyle name="백분율 3 2 2" xfId="105" xr:uid="{00000000-0005-0000-0000-000025000000}"/>
    <cellStyle name="백분율 3 3" xfId="95" xr:uid="{00000000-0005-0000-0000-000026000000}"/>
    <cellStyle name="백분율 4" xfId="77" xr:uid="{00000000-0005-0000-0000-000027000000}"/>
    <cellStyle name="백분율 5" xfId="91" xr:uid="{00000000-0005-0000-0000-000028000000}"/>
    <cellStyle name="백분율 6" xfId="4" xr:uid="{00000000-0005-0000-0000-000029000000}"/>
    <cellStyle name="보통 2" xfId="40" xr:uid="{00000000-0005-0000-0000-00002A000000}"/>
    <cellStyle name="설명 텍스트 2" xfId="41" xr:uid="{00000000-0005-0000-0000-00002B000000}"/>
    <cellStyle name="셀 확인 2" xfId="42" xr:uid="{00000000-0005-0000-0000-00002C000000}"/>
    <cellStyle name="쉼표 [0] 2" xfId="6" xr:uid="{00000000-0005-0000-0000-00002D000000}"/>
    <cellStyle name="쉼표 [0] 2 2" xfId="60" xr:uid="{00000000-0005-0000-0000-00002E000000}"/>
    <cellStyle name="쉼표 [0] 2 2 2" xfId="65" xr:uid="{00000000-0005-0000-0000-00002F000000}"/>
    <cellStyle name="쉼표 [0] 2 2 2 2" xfId="86" xr:uid="{00000000-0005-0000-0000-000030000000}"/>
    <cellStyle name="쉼표 [0] 2 2 2 2 2" xfId="109" xr:uid="{00000000-0005-0000-0000-000031000000}"/>
    <cellStyle name="쉼표 [0] 2 2 2 3" xfId="99" xr:uid="{00000000-0005-0000-0000-000032000000}"/>
    <cellStyle name="쉼표 [0] 2 3" xfId="75" xr:uid="{00000000-0005-0000-0000-000033000000}"/>
    <cellStyle name="쉼표 [0] 3" xfId="8" xr:uid="{00000000-0005-0000-0000-000034000000}"/>
    <cellStyle name="쉼표 [0] 3 2" xfId="71" xr:uid="{00000000-0005-0000-0000-000035000000}"/>
    <cellStyle name="쉼표 [0] 3 2 2" xfId="103" xr:uid="{00000000-0005-0000-0000-000036000000}"/>
    <cellStyle name="쉼표 [0] 3 3" xfId="74" xr:uid="{00000000-0005-0000-0000-000037000000}"/>
    <cellStyle name="쉼표 [0] 3 3 2" xfId="93" xr:uid="{00000000-0005-0000-0000-000038000000}"/>
    <cellStyle name="쉼표 [0] 3 4" xfId="81" xr:uid="{00000000-0005-0000-0000-000039000000}"/>
    <cellStyle name="쉼표 [0] 4" xfId="43" xr:uid="{00000000-0005-0000-0000-00003A000000}"/>
    <cellStyle name="쉼표 [0] 4 2" xfId="64" xr:uid="{00000000-0005-0000-0000-00003B000000}"/>
    <cellStyle name="쉼표 [0] 4 3" xfId="83" xr:uid="{00000000-0005-0000-0000-00003C000000}"/>
    <cellStyle name="쉼표 [0] 4 3 2" xfId="106" xr:uid="{00000000-0005-0000-0000-00003D000000}"/>
    <cellStyle name="쉼표 [0] 4 4" xfId="96" xr:uid="{00000000-0005-0000-0000-00003E000000}"/>
    <cellStyle name="쉼표 [0] 5" xfId="44" xr:uid="{00000000-0005-0000-0000-00003F000000}"/>
    <cellStyle name="쉼표 [0] 6" xfId="78" xr:uid="{00000000-0005-0000-0000-000040000000}"/>
    <cellStyle name="쉼표 [0] 7" xfId="90" xr:uid="{00000000-0005-0000-0000-000041000000}"/>
    <cellStyle name="쉼표 [0] 8" xfId="113" xr:uid="{00000000-0005-0000-0000-000042000000}"/>
    <cellStyle name="쉼표 [0] 9" xfId="3" xr:uid="{00000000-0005-0000-0000-000043000000}"/>
    <cellStyle name="연결된 셀 2" xfId="45" xr:uid="{00000000-0005-0000-0000-000044000000}"/>
    <cellStyle name="요약 2" xfId="46" xr:uid="{00000000-0005-0000-0000-000045000000}"/>
    <cellStyle name="입력 2" xfId="47" xr:uid="{00000000-0005-0000-0000-000046000000}"/>
    <cellStyle name="제목 1 2" xfId="48" xr:uid="{00000000-0005-0000-0000-000047000000}"/>
    <cellStyle name="제목 1 3" xfId="49" xr:uid="{00000000-0005-0000-0000-000048000000}"/>
    <cellStyle name="제목 2 2" xfId="50" xr:uid="{00000000-0005-0000-0000-000049000000}"/>
    <cellStyle name="제목 3 2" xfId="51" xr:uid="{00000000-0005-0000-0000-00004A000000}"/>
    <cellStyle name="제목 4 2" xfId="52" xr:uid="{00000000-0005-0000-0000-00004B000000}"/>
    <cellStyle name="제목 5" xfId="53" xr:uid="{00000000-0005-0000-0000-00004C000000}"/>
    <cellStyle name="제목 6" xfId="54" xr:uid="{00000000-0005-0000-0000-00004D000000}"/>
    <cellStyle name="좋음 2" xfId="55" xr:uid="{00000000-0005-0000-0000-00004E000000}"/>
    <cellStyle name="출력 2" xfId="56" xr:uid="{00000000-0005-0000-0000-00004F000000}"/>
    <cellStyle name="표준" xfId="0" builtinId="0"/>
    <cellStyle name="표준 10" xfId="2" xr:uid="{00000000-0005-0000-0000-000051000000}"/>
    <cellStyle name="표준 2" xfId="5" xr:uid="{00000000-0005-0000-0000-000052000000}"/>
    <cellStyle name="표준 2 2" xfId="66" xr:uid="{00000000-0005-0000-0000-000053000000}"/>
    <cellStyle name="표준 2 3" xfId="67" xr:uid="{00000000-0005-0000-0000-000054000000}"/>
    <cellStyle name="표준 2 3 2" xfId="87" xr:uid="{00000000-0005-0000-0000-000055000000}"/>
    <cellStyle name="표준 2 3 2 2" xfId="110" xr:uid="{00000000-0005-0000-0000-000056000000}"/>
    <cellStyle name="표준 2 3 3" xfId="100" xr:uid="{00000000-0005-0000-0000-000057000000}"/>
    <cellStyle name="표준 2 4" xfId="68" xr:uid="{00000000-0005-0000-0000-000058000000}"/>
    <cellStyle name="표준 2 4 2" xfId="88" xr:uid="{00000000-0005-0000-0000-000059000000}"/>
    <cellStyle name="표준 2 4 2 2" xfId="111" xr:uid="{00000000-0005-0000-0000-00005A000000}"/>
    <cellStyle name="표준 2 4 3" xfId="101" xr:uid="{00000000-0005-0000-0000-00005B000000}"/>
    <cellStyle name="표준 2 5" xfId="62" xr:uid="{00000000-0005-0000-0000-00005C000000}"/>
    <cellStyle name="표준 2 5 2" xfId="85" xr:uid="{00000000-0005-0000-0000-00005D000000}"/>
    <cellStyle name="표준 2 5 2 2" xfId="108" xr:uid="{00000000-0005-0000-0000-00005E000000}"/>
    <cellStyle name="표준 2 5 3" xfId="98" xr:uid="{00000000-0005-0000-0000-00005F000000}"/>
    <cellStyle name="표준 2 6" xfId="76" xr:uid="{00000000-0005-0000-0000-000060000000}"/>
    <cellStyle name="표준 2 7" xfId="80" xr:uid="{00000000-0005-0000-0000-000061000000}"/>
    <cellStyle name="표준 3" xfId="7" xr:uid="{00000000-0005-0000-0000-000062000000}"/>
    <cellStyle name="표준 3 2" xfId="70" xr:uid="{00000000-0005-0000-0000-000063000000}"/>
    <cellStyle name="표준 3 2 2" xfId="102" xr:uid="{00000000-0005-0000-0000-000064000000}"/>
    <cellStyle name="표준 3 3" xfId="69" xr:uid="{00000000-0005-0000-0000-000065000000}"/>
    <cellStyle name="표준 3 4" xfId="92" xr:uid="{00000000-0005-0000-0000-000066000000}"/>
    <cellStyle name="표준 4" xfId="57" xr:uid="{00000000-0005-0000-0000-000067000000}"/>
    <cellStyle name="표준 5" xfId="1" xr:uid="{00000000-0005-0000-0000-000068000000}"/>
    <cellStyle name="표준 5 2" xfId="63" xr:uid="{00000000-0005-0000-0000-000069000000}"/>
    <cellStyle name="표준 5 3" xfId="84" xr:uid="{00000000-0005-0000-0000-00006A000000}"/>
    <cellStyle name="표준 5 3 2" xfId="107" xr:uid="{00000000-0005-0000-0000-00006B000000}"/>
    <cellStyle name="표준 5 4" xfId="97" xr:uid="{00000000-0005-0000-0000-00006C000000}"/>
    <cellStyle name="표준 5 5" xfId="58" xr:uid="{00000000-0005-0000-0000-00006D000000}"/>
    <cellStyle name="표준 6" xfId="59" xr:uid="{00000000-0005-0000-0000-00006E000000}"/>
    <cellStyle name="표준 7" xfId="79" xr:uid="{00000000-0005-0000-0000-00006F000000}"/>
    <cellStyle name="표준 8" xfId="89" xr:uid="{00000000-0005-0000-0000-000070000000}"/>
    <cellStyle name="표준 9" xfId="112" xr:uid="{00000000-0005-0000-0000-00007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708972</xdr:colOff>
      <xdr:row>0</xdr:row>
      <xdr:rowOff>47236</xdr:rowOff>
    </xdr:from>
    <xdr:to>
      <xdr:col>19</xdr:col>
      <xdr:colOff>103918</xdr:colOff>
      <xdr:row>3</xdr:row>
      <xdr:rowOff>194358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2261B7F-7815-6299-5EBE-ADA8A707C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2218" y="47236"/>
          <a:ext cx="1973993" cy="7988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708972</xdr:colOff>
      <xdr:row>0</xdr:row>
      <xdr:rowOff>47236</xdr:rowOff>
    </xdr:from>
    <xdr:to>
      <xdr:col>19</xdr:col>
      <xdr:colOff>103918</xdr:colOff>
      <xdr:row>3</xdr:row>
      <xdr:rowOff>194358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FEBDA6-D06C-4511-AA15-A0F70C65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5022" y="47236"/>
          <a:ext cx="1976221" cy="8043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0.3\&#44277;&#50976;&#54260;&#45908;\Users\com\Desktop\6&#50900;16&#51068;\C.2021-&#50976;&#47532;&#48156;&#51452;&#49436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-e7ne01v\&#49888;&#44277;&#50976;\H.2020&#45380;-10&#50900;-&#54620;&#49368;&#51088;&#51116;&#48156;&#51452;&#47784;&#51020;.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샘 유로인쇄용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용자재"/>
      <sheetName val="윈체(원)"/>
      <sheetName val="B2C원자재"/>
      <sheetName val="이건단가"/>
      <sheetName val="한샘단가"/>
      <sheetName val="KCC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8"/>
  <sheetViews>
    <sheetView tabSelected="1" zoomScaleNormal="100" zoomScaleSheetLayoutView="85" workbookViewId="0">
      <selection activeCell="V2" sqref="V2"/>
    </sheetView>
  </sheetViews>
  <sheetFormatPr defaultColWidth="8.875" defaultRowHeight="16.5" x14ac:dyDescent="0.3"/>
  <cols>
    <col min="1" max="1" width="8.875" style="9"/>
    <col min="2" max="2" width="5.375" style="9" customWidth="1"/>
    <col min="3" max="4" width="11.375" style="9" customWidth="1"/>
    <col min="5" max="5" width="14.125" style="9" customWidth="1"/>
    <col min="6" max="6" width="10.125" style="9" customWidth="1"/>
    <col min="7" max="10" width="8.125" style="9" customWidth="1"/>
    <col min="11" max="11" width="8.625" style="9" bestFit="1" customWidth="1"/>
    <col min="12" max="12" width="12.625" style="9" customWidth="1"/>
    <col min="13" max="13" width="15.625" style="9" customWidth="1"/>
    <col min="14" max="14" width="4.625" style="9" bestFit="1" customWidth="1"/>
    <col min="15" max="15" width="10.875" style="9" customWidth="1"/>
    <col min="16" max="17" width="6.25" style="9" customWidth="1"/>
    <col min="18" max="19" width="5.25" style="9" customWidth="1"/>
    <col min="20" max="20" width="12.125" style="9" customWidth="1"/>
    <col min="21" max="16384" width="8.875" style="9"/>
  </cols>
  <sheetData>
    <row r="1" spans="2:23" ht="17.45" customHeight="1" x14ac:dyDescent="0.3">
      <c r="B1" s="58" t="s">
        <v>17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  <c r="N1" s="4"/>
      <c r="O1" s="1"/>
      <c r="P1" s="1"/>
      <c r="Q1" s="1"/>
      <c r="R1" s="1"/>
      <c r="S1" s="1"/>
      <c r="T1" s="8"/>
      <c r="V1" s="9">
        <v>1.35</v>
      </c>
      <c r="W1" s="9">
        <v>8</v>
      </c>
    </row>
    <row r="2" spans="2:23" ht="17.45" customHeight="1" x14ac:dyDescent="0.3">
      <c r="B2" s="61"/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  <c r="N2" s="5"/>
      <c r="O2" s="2"/>
      <c r="P2" s="2"/>
      <c r="Q2" s="2"/>
      <c r="R2" s="2"/>
      <c r="S2" s="2"/>
      <c r="T2" s="10"/>
    </row>
    <row r="3" spans="2:23" ht="17.45" customHeight="1" x14ac:dyDescent="0.3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3"/>
      <c r="N3" s="5"/>
      <c r="O3" s="2"/>
      <c r="P3" s="2"/>
      <c r="Q3" s="2"/>
      <c r="R3" s="2"/>
      <c r="S3" s="2"/>
      <c r="T3" s="10"/>
    </row>
    <row r="4" spans="2:23" ht="17.45" customHeight="1" x14ac:dyDescent="0.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  <c r="N4" s="6"/>
      <c r="O4" s="3"/>
      <c r="P4" s="3"/>
      <c r="Q4" s="3"/>
      <c r="R4" s="3"/>
      <c r="S4" s="3"/>
      <c r="T4" s="11"/>
    </row>
    <row r="5" spans="2:23" x14ac:dyDescent="0.3">
      <c r="B5" s="67" t="s">
        <v>21</v>
      </c>
      <c r="C5" s="68"/>
      <c r="D5" s="19" t="s">
        <v>0</v>
      </c>
      <c r="E5" s="20"/>
      <c r="F5" s="20"/>
      <c r="G5" s="20"/>
      <c r="H5" s="20"/>
      <c r="I5" s="20"/>
      <c r="J5" s="20"/>
      <c r="K5" s="19" t="s">
        <v>0</v>
      </c>
      <c r="L5" s="19" t="s">
        <v>0</v>
      </c>
      <c r="M5" s="19" t="s">
        <v>0</v>
      </c>
      <c r="N5" s="19" t="s">
        <v>0</v>
      </c>
      <c r="O5" s="12"/>
      <c r="P5" s="12"/>
      <c r="Q5" s="12"/>
      <c r="R5" s="12"/>
      <c r="S5" s="12"/>
      <c r="T5" s="13"/>
    </row>
    <row r="6" spans="2:23" ht="17.45" customHeight="1" x14ac:dyDescent="0.3">
      <c r="B6" s="54" t="s">
        <v>1</v>
      </c>
      <c r="C6" s="54"/>
      <c r="D6" s="57" t="s">
        <v>47</v>
      </c>
      <c r="E6" s="57"/>
      <c r="F6" s="69"/>
      <c r="G6" s="21" t="s">
        <v>46</v>
      </c>
      <c r="H6" s="70" t="s">
        <v>48</v>
      </c>
      <c r="I6" s="71"/>
      <c r="J6" s="71"/>
      <c r="K6" s="72"/>
      <c r="L6" s="22" t="s">
        <v>18</v>
      </c>
      <c r="M6" s="23" t="s">
        <v>19</v>
      </c>
      <c r="N6" s="44" t="s">
        <v>22</v>
      </c>
      <c r="O6" s="46"/>
      <c r="P6" s="46"/>
      <c r="Q6" s="46"/>
      <c r="R6" s="47" t="s">
        <v>0</v>
      </c>
      <c r="S6" s="47"/>
      <c r="T6" s="47"/>
    </row>
    <row r="7" spans="2:23" ht="17.45" customHeight="1" x14ac:dyDescent="0.3">
      <c r="B7" s="54" t="s">
        <v>23</v>
      </c>
      <c r="C7" s="54"/>
      <c r="D7" s="73" t="s">
        <v>155</v>
      </c>
      <c r="E7" s="57"/>
      <c r="F7" s="57"/>
      <c r="G7" s="57"/>
      <c r="H7" s="57"/>
      <c r="I7" s="57"/>
      <c r="J7" s="57"/>
      <c r="K7" s="74"/>
      <c r="L7" s="22" t="s">
        <v>26</v>
      </c>
      <c r="M7" s="23" t="s">
        <v>49</v>
      </c>
      <c r="N7" s="44" t="s">
        <v>29</v>
      </c>
      <c r="O7" s="46"/>
      <c r="P7" s="46"/>
      <c r="Q7" s="46"/>
      <c r="R7" s="47" t="s">
        <v>50</v>
      </c>
      <c r="S7" s="47"/>
      <c r="T7" s="47"/>
    </row>
    <row r="8" spans="2:23" ht="34.5" customHeight="1" x14ac:dyDescent="0.3">
      <c r="B8" s="54" t="s">
        <v>24</v>
      </c>
      <c r="C8" s="54"/>
      <c r="D8" s="73" t="s">
        <v>156</v>
      </c>
      <c r="E8" s="57"/>
      <c r="F8" s="57"/>
      <c r="G8" s="57"/>
      <c r="H8" s="57"/>
      <c r="I8" s="57"/>
      <c r="J8" s="57"/>
      <c r="K8" s="74"/>
      <c r="L8" s="22" t="s">
        <v>27</v>
      </c>
      <c r="M8" s="23" t="s">
        <v>51</v>
      </c>
      <c r="N8" s="44" t="s">
        <v>30</v>
      </c>
      <c r="O8" s="46"/>
      <c r="P8" s="46"/>
      <c r="Q8" s="46"/>
      <c r="R8" s="47" t="s">
        <v>52</v>
      </c>
      <c r="S8" s="47"/>
      <c r="T8" s="47"/>
    </row>
    <row r="9" spans="2:23" ht="16.5" customHeight="1" x14ac:dyDescent="0.3">
      <c r="B9" s="54" t="s">
        <v>25</v>
      </c>
      <c r="C9" s="54"/>
      <c r="D9" s="56">
        <f>T71+T72</f>
        <v>11620347.5</v>
      </c>
      <c r="E9" s="57"/>
      <c r="F9" s="57"/>
      <c r="G9" s="22" t="s">
        <v>33</v>
      </c>
      <c r="H9" s="73" t="s">
        <v>53</v>
      </c>
      <c r="I9" s="57"/>
      <c r="J9" s="57"/>
      <c r="K9" s="74"/>
      <c r="L9" s="22" t="s">
        <v>28</v>
      </c>
      <c r="M9" s="23" t="s">
        <v>157</v>
      </c>
      <c r="N9" s="44" t="s">
        <v>31</v>
      </c>
      <c r="O9" s="46"/>
      <c r="P9" s="46"/>
      <c r="Q9" s="46"/>
      <c r="R9" s="47" t="s">
        <v>54</v>
      </c>
      <c r="S9" s="47"/>
      <c r="T9" s="47"/>
      <c r="V9" s="7"/>
    </row>
    <row r="10" spans="2:23" x14ac:dyDescent="0.3"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2:23" x14ac:dyDescent="0.3">
      <c r="B11" s="75" t="s">
        <v>2</v>
      </c>
      <c r="C11" s="76"/>
      <c r="D11" s="24" t="s">
        <v>0</v>
      </c>
      <c r="E11" s="24" t="s">
        <v>0</v>
      </c>
      <c r="F11" s="25" t="s">
        <v>0</v>
      </c>
      <c r="G11" s="34" t="s">
        <v>0</v>
      </c>
      <c r="H11" s="34" t="s">
        <v>0</v>
      </c>
      <c r="I11" s="34"/>
      <c r="J11" s="34"/>
      <c r="K11" s="25" t="s">
        <v>0</v>
      </c>
      <c r="L11" s="25" t="s">
        <v>0</v>
      </c>
      <c r="M11" s="25" t="s">
        <v>0</v>
      </c>
      <c r="N11" s="25" t="s">
        <v>0</v>
      </c>
      <c r="O11" s="34" t="s">
        <v>0</v>
      </c>
      <c r="P11" s="34" t="s">
        <v>0</v>
      </c>
      <c r="Q11" s="34" t="s">
        <v>0</v>
      </c>
      <c r="R11" s="25" t="s">
        <v>0</v>
      </c>
      <c r="S11" s="25" t="s">
        <v>0</v>
      </c>
      <c r="T11" s="15"/>
    </row>
    <row r="12" spans="2:23" ht="21.6" customHeight="1" x14ac:dyDescent="0.3">
      <c r="B12" s="48" t="s">
        <v>3</v>
      </c>
      <c r="C12" s="48" t="s">
        <v>4</v>
      </c>
      <c r="D12" s="48" t="s">
        <v>34</v>
      </c>
      <c r="E12" s="48" t="s">
        <v>5</v>
      </c>
      <c r="F12" s="53" t="s">
        <v>6</v>
      </c>
      <c r="G12" s="44" t="s">
        <v>7</v>
      </c>
      <c r="H12" s="45"/>
      <c r="I12" s="44" t="s">
        <v>44</v>
      </c>
      <c r="J12" s="45"/>
      <c r="K12" s="37" t="s">
        <v>8</v>
      </c>
      <c r="L12" s="26" t="s">
        <v>36</v>
      </c>
      <c r="M12" s="27" t="s">
        <v>14</v>
      </c>
      <c r="N12" s="53" t="s">
        <v>9</v>
      </c>
      <c r="O12" s="35" t="s">
        <v>13</v>
      </c>
      <c r="P12" s="54" t="s">
        <v>39</v>
      </c>
      <c r="Q12" s="54" t="s">
        <v>40</v>
      </c>
      <c r="R12" s="50" t="s">
        <v>10</v>
      </c>
      <c r="S12" s="48" t="s">
        <v>11</v>
      </c>
      <c r="T12" s="48" t="s">
        <v>32</v>
      </c>
    </row>
    <row r="13" spans="2:23" ht="21.6" customHeight="1" x14ac:dyDescent="0.3">
      <c r="B13" s="55"/>
      <c r="C13" s="55"/>
      <c r="D13" s="55"/>
      <c r="E13" s="55"/>
      <c r="F13" s="77"/>
      <c r="G13" s="22" t="s">
        <v>45</v>
      </c>
      <c r="H13" s="22" t="s">
        <v>41</v>
      </c>
      <c r="I13" s="22" t="s">
        <v>42</v>
      </c>
      <c r="J13" s="22" t="s">
        <v>43</v>
      </c>
      <c r="K13" s="38" t="s">
        <v>12</v>
      </c>
      <c r="L13" s="28" t="s">
        <v>37</v>
      </c>
      <c r="M13" s="29" t="s">
        <v>15</v>
      </c>
      <c r="N13" s="52"/>
      <c r="O13" s="36" t="s">
        <v>38</v>
      </c>
      <c r="P13" s="54"/>
      <c r="Q13" s="54"/>
      <c r="R13" s="51"/>
      <c r="S13" s="52"/>
      <c r="T13" s="49"/>
    </row>
    <row r="14" spans="2:23" ht="24.95" customHeight="1" x14ac:dyDescent="0.3">
      <c r="B14" s="78" t="s">
        <v>55</v>
      </c>
      <c r="C14" s="78" t="s">
        <v>56</v>
      </c>
      <c r="D14" s="78" t="s">
        <v>57</v>
      </c>
      <c r="E14" s="39" t="s">
        <v>58</v>
      </c>
      <c r="F14" s="39" t="s">
        <v>59</v>
      </c>
      <c r="G14" s="78" t="s">
        <v>60</v>
      </c>
      <c r="H14" s="78" t="s">
        <v>0</v>
      </c>
      <c r="I14" s="78" t="s">
        <v>61</v>
      </c>
      <c r="J14" s="78" t="s">
        <v>0</v>
      </c>
      <c r="K14" s="39" t="s">
        <v>62</v>
      </c>
      <c r="L14" s="39" t="s">
        <v>63</v>
      </c>
      <c r="M14" s="39" t="s">
        <v>64</v>
      </c>
      <c r="N14" s="78" t="s">
        <v>55</v>
      </c>
      <c r="O14" s="78" t="s">
        <v>65</v>
      </c>
      <c r="P14" s="78" t="s">
        <v>66</v>
      </c>
      <c r="Q14" s="78" t="s">
        <v>66</v>
      </c>
      <c r="R14" s="78" t="s">
        <v>67</v>
      </c>
      <c r="S14" s="78" t="s">
        <v>53</v>
      </c>
      <c r="T14" s="79">
        <f>1355909*V1</f>
        <v>1830477.1500000001</v>
      </c>
    </row>
    <row r="15" spans="2:23" ht="24.95" customHeight="1" x14ac:dyDescent="0.3">
      <c r="B15" s="78" t="s">
        <v>55</v>
      </c>
      <c r="C15" s="78" t="s">
        <v>0</v>
      </c>
      <c r="D15" s="78" t="s">
        <v>0</v>
      </c>
      <c r="E15" s="39" t="s">
        <v>0</v>
      </c>
      <c r="F15" s="39" t="s">
        <v>68</v>
      </c>
      <c r="G15" s="39" t="s">
        <v>0</v>
      </c>
      <c r="H15" s="39" t="s">
        <v>0</v>
      </c>
      <c r="I15" s="39" t="s">
        <v>0</v>
      </c>
      <c r="J15" s="39" t="s">
        <v>0</v>
      </c>
      <c r="K15" s="39" t="s">
        <v>62</v>
      </c>
      <c r="L15" s="39" t="s">
        <v>0</v>
      </c>
      <c r="M15" s="39" t="s">
        <v>69</v>
      </c>
      <c r="N15" s="78" t="s">
        <v>0</v>
      </c>
      <c r="O15" s="78" t="s">
        <v>0</v>
      </c>
      <c r="P15" s="78" t="s">
        <v>0</v>
      </c>
      <c r="Q15" s="78" t="s">
        <v>0</v>
      </c>
      <c r="R15" s="78" t="s">
        <v>0</v>
      </c>
      <c r="S15" s="78"/>
      <c r="T15" s="78"/>
    </row>
    <row r="16" spans="2:23" ht="24.95" customHeight="1" x14ac:dyDescent="0.3">
      <c r="B16" s="78" t="s">
        <v>55</v>
      </c>
      <c r="C16" s="39" t="s">
        <v>70</v>
      </c>
      <c r="D16" s="80" t="s">
        <v>0</v>
      </c>
      <c r="E16" s="78" t="s">
        <v>0</v>
      </c>
      <c r="F16" s="78" t="s">
        <v>0</v>
      </c>
      <c r="G16" s="78" t="s">
        <v>0</v>
      </c>
      <c r="H16" s="78" t="s">
        <v>0</v>
      </c>
      <c r="I16" s="78"/>
      <c r="J16" s="78"/>
      <c r="K16" s="43" t="s">
        <v>71</v>
      </c>
      <c r="L16" s="39" t="s">
        <v>72</v>
      </c>
      <c r="M16" s="39" t="s">
        <v>73</v>
      </c>
      <c r="N16" s="39" t="s">
        <v>0</v>
      </c>
      <c r="O16" s="39" t="s">
        <v>0</v>
      </c>
      <c r="P16" s="78" t="s">
        <v>0</v>
      </c>
      <c r="Q16" s="78" t="s">
        <v>0</v>
      </c>
      <c r="R16" s="78" t="s">
        <v>0</v>
      </c>
      <c r="S16" s="78"/>
      <c r="T16" s="78"/>
    </row>
    <row r="17" spans="2:20" ht="24.95" customHeight="1" x14ac:dyDescent="0.3">
      <c r="B17" s="78" t="s">
        <v>74</v>
      </c>
      <c r="C17" s="78" t="s">
        <v>75</v>
      </c>
      <c r="D17" s="78" t="s">
        <v>57</v>
      </c>
      <c r="E17" s="39" t="s">
        <v>58</v>
      </c>
      <c r="F17" s="39" t="s">
        <v>76</v>
      </c>
      <c r="G17" s="78" t="s">
        <v>77</v>
      </c>
      <c r="H17" s="78" t="s">
        <v>0</v>
      </c>
      <c r="I17" s="78" t="s">
        <v>61</v>
      </c>
      <c r="J17" s="78" t="s">
        <v>0</v>
      </c>
      <c r="K17" s="39" t="s">
        <v>62</v>
      </c>
      <c r="L17" s="39" t="s">
        <v>63</v>
      </c>
      <c r="M17" s="39" t="s">
        <v>64</v>
      </c>
      <c r="N17" s="78" t="s">
        <v>55</v>
      </c>
      <c r="O17" s="78" t="s">
        <v>65</v>
      </c>
      <c r="P17" s="78" t="s">
        <v>66</v>
      </c>
      <c r="Q17" s="78" t="s">
        <v>66</v>
      </c>
      <c r="R17" s="78" t="s">
        <v>67</v>
      </c>
      <c r="S17" s="78" t="s">
        <v>53</v>
      </c>
      <c r="T17" s="79">
        <f>1176317*V1</f>
        <v>1588027.9500000002</v>
      </c>
    </row>
    <row r="18" spans="2:20" ht="24.95" customHeight="1" x14ac:dyDescent="0.3">
      <c r="B18" s="78" t="s">
        <v>74</v>
      </c>
      <c r="C18" s="78" t="s">
        <v>0</v>
      </c>
      <c r="D18" s="78" t="s">
        <v>0</v>
      </c>
      <c r="E18" s="39" t="s">
        <v>0</v>
      </c>
      <c r="F18" s="39" t="s">
        <v>78</v>
      </c>
      <c r="G18" s="39" t="s">
        <v>0</v>
      </c>
      <c r="H18" s="39" t="s">
        <v>0</v>
      </c>
      <c r="I18" s="39" t="s">
        <v>0</v>
      </c>
      <c r="J18" s="39" t="s">
        <v>0</v>
      </c>
      <c r="K18" s="39" t="s">
        <v>62</v>
      </c>
      <c r="L18" s="39" t="s">
        <v>0</v>
      </c>
      <c r="M18" s="39" t="s">
        <v>69</v>
      </c>
      <c r="N18" s="78" t="s">
        <v>0</v>
      </c>
      <c r="O18" s="78" t="s">
        <v>0</v>
      </c>
      <c r="P18" s="78" t="s">
        <v>0</v>
      </c>
      <c r="Q18" s="78" t="s">
        <v>0</v>
      </c>
      <c r="R18" s="78" t="s">
        <v>0</v>
      </c>
      <c r="S18" s="78"/>
      <c r="T18" s="78"/>
    </row>
    <row r="19" spans="2:20" ht="24.95" customHeight="1" x14ac:dyDescent="0.3">
      <c r="B19" s="78" t="s">
        <v>74</v>
      </c>
      <c r="C19" s="39" t="s">
        <v>70</v>
      </c>
      <c r="D19" s="80" t="s">
        <v>0</v>
      </c>
      <c r="E19" s="78" t="s">
        <v>0</v>
      </c>
      <c r="F19" s="78" t="s">
        <v>0</v>
      </c>
      <c r="G19" s="78" t="s">
        <v>0</v>
      </c>
      <c r="H19" s="78" t="s">
        <v>0</v>
      </c>
      <c r="I19" s="78"/>
      <c r="J19" s="78"/>
      <c r="K19" s="43" t="s">
        <v>71</v>
      </c>
      <c r="L19" s="39" t="s">
        <v>72</v>
      </c>
      <c r="M19" s="39" t="s">
        <v>73</v>
      </c>
      <c r="N19" s="39" t="s">
        <v>0</v>
      </c>
      <c r="O19" s="39" t="s">
        <v>0</v>
      </c>
      <c r="P19" s="78" t="s">
        <v>0</v>
      </c>
      <c r="Q19" s="78" t="s">
        <v>0</v>
      </c>
      <c r="R19" s="78" t="s">
        <v>0</v>
      </c>
      <c r="S19" s="78"/>
      <c r="T19" s="78"/>
    </row>
    <row r="20" spans="2:20" ht="24.95" customHeight="1" x14ac:dyDescent="0.3">
      <c r="B20" s="78" t="s">
        <v>79</v>
      </c>
      <c r="C20" s="78" t="s">
        <v>80</v>
      </c>
      <c r="D20" s="78" t="s">
        <v>81</v>
      </c>
      <c r="E20" s="39" t="s">
        <v>82</v>
      </c>
      <c r="F20" s="39" t="s">
        <v>83</v>
      </c>
      <c r="G20" s="78" t="s">
        <v>84</v>
      </c>
      <c r="H20" s="78" t="s">
        <v>0</v>
      </c>
      <c r="I20" s="78" t="s">
        <v>85</v>
      </c>
      <c r="J20" s="78" t="s">
        <v>0</v>
      </c>
      <c r="K20" s="39" t="s">
        <v>62</v>
      </c>
      <c r="L20" s="39" t="s">
        <v>86</v>
      </c>
      <c r="M20" s="39" t="s">
        <v>87</v>
      </c>
      <c r="N20" s="78" t="s">
        <v>55</v>
      </c>
      <c r="O20" s="78" t="s">
        <v>88</v>
      </c>
      <c r="P20" s="78" t="s">
        <v>66</v>
      </c>
      <c r="Q20" s="78" t="s">
        <v>66</v>
      </c>
      <c r="R20" s="78" t="s">
        <v>66</v>
      </c>
      <c r="S20" s="78" t="s">
        <v>53</v>
      </c>
      <c r="T20" s="79">
        <f>1037042*V1</f>
        <v>1400006.7000000002</v>
      </c>
    </row>
    <row r="21" spans="2:20" ht="24.95" customHeight="1" x14ac:dyDescent="0.3">
      <c r="B21" s="78" t="s">
        <v>79</v>
      </c>
      <c r="C21" s="78" t="s">
        <v>0</v>
      </c>
      <c r="D21" s="78" t="s">
        <v>0</v>
      </c>
      <c r="E21" s="39" t="s">
        <v>0</v>
      </c>
      <c r="F21" s="39" t="s">
        <v>78</v>
      </c>
      <c r="G21" s="39" t="s">
        <v>89</v>
      </c>
      <c r="H21" s="39" t="s">
        <v>0</v>
      </c>
      <c r="I21" s="39" t="s">
        <v>0</v>
      </c>
      <c r="J21" s="39" t="s">
        <v>0</v>
      </c>
      <c r="K21" s="39" t="s">
        <v>62</v>
      </c>
      <c r="L21" s="39" t="s">
        <v>0</v>
      </c>
      <c r="M21" s="39" t="s">
        <v>69</v>
      </c>
      <c r="N21" s="78" t="s">
        <v>0</v>
      </c>
      <c r="O21" s="78" t="s">
        <v>0</v>
      </c>
      <c r="P21" s="78" t="s">
        <v>0</v>
      </c>
      <c r="Q21" s="78" t="s">
        <v>0</v>
      </c>
      <c r="R21" s="78" t="s">
        <v>0</v>
      </c>
      <c r="S21" s="78"/>
      <c r="T21" s="78"/>
    </row>
    <row r="22" spans="2:20" ht="24.95" customHeight="1" x14ac:dyDescent="0.3">
      <c r="B22" s="78" t="s">
        <v>79</v>
      </c>
      <c r="C22" s="39" t="s">
        <v>70</v>
      </c>
      <c r="D22" s="80" t="s">
        <v>0</v>
      </c>
      <c r="E22" s="78" t="s">
        <v>0</v>
      </c>
      <c r="F22" s="78" t="s">
        <v>0</v>
      </c>
      <c r="G22" s="78" t="s">
        <v>0</v>
      </c>
      <c r="H22" s="78" t="s">
        <v>0</v>
      </c>
      <c r="I22" s="78"/>
      <c r="J22" s="78"/>
      <c r="K22" s="43" t="s">
        <v>71</v>
      </c>
      <c r="L22" s="39" t="s">
        <v>72</v>
      </c>
      <c r="M22" s="39" t="s">
        <v>73</v>
      </c>
      <c r="N22" s="39" t="s">
        <v>0</v>
      </c>
      <c r="O22" s="39" t="s">
        <v>0</v>
      </c>
      <c r="P22" s="78" t="s">
        <v>0</v>
      </c>
      <c r="Q22" s="78" t="s">
        <v>0</v>
      </c>
      <c r="R22" s="78" t="s">
        <v>0</v>
      </c>
      <c r="S22" s="78"/>
      <c r="T22" s="78"/>
    </row>
    <row r="23" spans="2:20" ht="24.95" customHeight="1" x14ac:dyDescent="0.3">
      <c r="B23" s="78" t="s">
        <v>90</v>
      </c>
      <c r="C23" s="78" t="s">
        <v>91</v>
      </c>
      <c r="D23" s="78" t="s">
        <v>81</v>
      </c>
      <c r="E23" s="39" t="s">
        <v>82</v>
      </c>
      <c r="F23" s="39" t="s">
        <v>59</v>
      </c>
      <c r="G23" s="78" t="s">
        <v>92</v>
      </c>
      <c r="H23" s="78" t="s">
        <v>0</v>
      </c>
      <c r="I23" s="78" t="s">
        <v>93</v>
      </c>
      <c r="J23" s="78" t="s">
        <v>0</v>
      </c>
      <c r="K23" s="39" t="s">
        <v>62</v>
      </c>
      <c r="L23" s="39" t="s">
        <v>86</v>
      </c>
      <c r="M23" s="39" t="s">
        <v>87</v>
      </c>
      <c r="N23" s="78" t="s">
        <v>55</v>
      </c>
      <c r="O23" s="78" t="s">
        <v>65</v>
      </c>
      <c r="P23" s="78" t="s">
        <v>66</v>
      </c>
      <c r="Q23" s="78" t="s">
        <v>66</v>
      </c>
      <c r="R23" s="78" t="s">
        <v>66</v>
      </c>
      <c r="S23" s="78" t="s">
        <v>53</v>
      </c>
      <c r="T23" s="79">
        <f>704879*V1</f>
        <v>951586.65</v>
      </c>
    </row>
    <row r="24" spans="2:20" ht="24.95" customHeight="1" x14ac:dyDescent="0.3">
      <c r="B24" s="78" t="s">
        <v>90</v>
      </c>
      <c r="C24" s="78" t="s">
        <v>0</v>
      </c>
      <c r="D24" s="78" t="s">
        <v>0</v>
      </c>
      <c r="E24" s="39" t="s">
        <v>0</v>
      </c>
      <c r="F24" s="39" t="s">
        <v>68</v>
      </c>
      <c r="G24" s="39" t="s">
        <v>0</v>
      </c>
      <c r="H24" s="39" t="s">
        <v>0</v>
      </c>
      <c r="I24" s="39" t="s">
        <v>0</v>
      </c>
      <c r="J24" s="39" t="s">
        <v>0</v>
      </c>
      <c r="K24" s="39" t="s">
        <v>62</v>
      </c>
      <c r="L24" s="39" t="s">
        <v>0</v>
      </c>
      <c r="M24" s="39" t="s">
        <v>69</v>
      </c>
      <c r="N24" s="78" t="s">
        <v>0</v>
      </c>
      <c r="O24" s="78" t="s">
        <v>0</v>
      </c>
      <c r="P24" s="78" t="s">
        <v>0</v>
      </c>
      <c r="Q24" s="78" t="s">
        <v>0</v>
      </c>
      <c r="R24" s="78" t="s">
        <v>0</v>
      </c>
      <c r="S24" s="78"/>
      <c r="T24" s="78"/>
    </row>
    <row r="25" spans="2:20" ht="24.95" customHeight="1" x14ac:dyDescent="0.3">
      <c r="B25" s="78" t="s">
        <v>90</v>
      </c>
      <c r="C25" s="39" t="s">
        <v>70</v>
      </c>
      <c r="D25" s="80" t="s">
        <v>0</v>
      </c>
      <c r="E25" s="78" t="s">
        <v>0</v>
      </c>
      <c r="F25" s="78" t="s">
        <v>0</v>
      </c>
      <c r="G25" s="78" t="s">
        <v>0</v>
      </c>
      <c r="H25" s="78" t="s">
        <v>0</v>
      </c>
      <c r="I25" s="78"/>
      <c r="J25" s="78"/>
      <c r="K25" s="43" t="s">
        <v>71</v>
      </c>
      <c r="L25" s="39" t="s">
        <v>72</v>
      </c>
      <c r="M25" s="39" t="s">
        <v>73</v>
      </c>
      <c r="N25" s="39" t="s">
        <v>0</v>
      </c>
      <c r="O25" s="39" t="s">
        <v>0</v>
      </c>
      <c r="P25" s="78" t="s">
        <v>0</v>
      </c>
      <c r="Q25" s="78" t="s">
        <v>0</v>
      </c>
      <c r="R25" s="78" t="s">
        <v>0</v>
      </c>
      <c r="S25" s="78"/>
      <c r="T25" s="78"/>
    </row>
    <row r="26" spans="2:20" ht="24.95" customHeight="1" x14ac:dyDescent="0.3">
      <c r="B26" s="78" t="s">
        <v>94</v>
      </c>
      <c r="C26" s="78" t="s">
        <v>95</v>
      </c>
      <c r="D26" s="78" t="s">
        <v>57</v>
      </c>
      <c r="E26" s="39" t="s">
        <v>58</v>
      </c>
      <c r="F26" s="39" t="s">
        <v>96</v>
      </c>
      <c r="G26" s="78" t="s">
        <v>97</v>
      </c>
      <c r="H26" s="78" t="s">
        <v>0</v>
      </c>
      <c r="I26" s="78" t="s">
        <v>98</v>
      </c>
      <c r="J26" s="78" t="s">
        <v>0</v>
      </c>
      <c r="K26" s="39" t="s">
        <v>62</v>
      </c>
      <c r="L26" s="39" t="s">
        <v>63</v>
      </c>
      <c r="M26" s="39" t="s">
        <v>64</v>
      </c>
      <c r="N26" s="78" t="s">
        <v>55</v>
      </c>
      <c r="O26" s="78" t="s">
        <v>99</v>
      </c>
      <c r="P26" s="78" t="s">
        <v>66</v>
      </c>
      <c r="Q26" s="78" t="s">
        <v>66</v>
      </c>
      <c r="R26" s="78" t="s">
        <v>67</v>
      </c>
      <c r="S26" s="78" t="s">
        <v>53</v>
      </c>
      <c r="T26" s="79">
        <f>486828*V1</f>
        <v>657217.80000000005</v>
      </c>
    </row>
    <row r="27" spans="2:20" ht="24.95" customHeight="1" x14ac:dyDescent="0.3">
      <c r="B27" s="78" t="s">
        <v>94</v>
      </c>
      <c r="C27" s="78" t="s">
        <v>0</v>
      </c>
      <c r="D27" s="78" t="s">
        <v>0</v>
      </c>
      <c r="E27" s="39" t="s">
        <v>0</v>
      </c>
      <c r="F27" s="39" t="s">
        <v>78</v>
      </c>
      <c r="G27" s="39" t="s">
        <v>0</v>
      </c>
      <c r="H27" s="39" t="s">
        <v>0</v>
      </c>
      <c r="I27" s="39" t="s">
        <v>0</v>
      </c>
      <c r="J27" s="39" t="s">
        <v>0</v>
      </c>
      <c r="K27" s="39" t="s">
        <v>62</v>
      </c>
      <c r="L27" s="39" t="s">
        <v>0</v>
      </c>
      <c r="M27" s="39" t="s">
        <v>69</v>
      </c>
      <c r="N27" s="78" t="s">
        <v>0</v>
      </c>
      <c r="O27" s="78" t="s">
        <v>0</v>
      </c>
      <c r="P27" s="78" t="s">
        <v>0</v>
      </c>
      <c r="Q27" s="78" t="s">
        <v>0</v>
      </c>
      <c r="R27" s="78" t="s">
        <v>0</v>
      </c>
      <c r="S27" s="78"/>
      <c r="T27" s="78"/>
    </row>
    <row r="28" spans="2:20" ht="24.95" customHeight="1" x14ac:dyDescent="0.3">
      <c r="B28" s="78" t="s">
        <v>94</v>
      </c>
      <c r="C28" s="39" t="s">
        <v>70</v>
      </c>
      <c r="D28" s="80" t="s">
        <v>0</v>
      </c>
      <c r="E28" s="78" t="s">
        <v>0</v>
      </c>
      <c r="F28" s="78" t="s">
        <v>0</v>
      </c>
      <c r="G28" s="78" t="s">
        <v>0</v>
      </c>
      <c r="H28" s="78" t="s">
        <v>0</v>
      </c>
      <c r="I28" s="78"/>
      <c r="J28" s="78"/>
      <c r="K28" s="43" t="s">
        <v>71</v>
      </c>
      <c r="L28" s="39" t="s">
        <v>72</v>
      </c>
      <c r="M28" s="39" t="s">
        <v>73</v>
      </c>
      <c r="N28" s="39" t="s">
        <v>0</v>
      </c>
      <c r="O28" s="39" t="s">
        <v>0</v>
      </c>
      <c r="P28" s="78" t="s">
        <v>0</v>
      </c>
      <c r="Q28" s="78" t="s">
        <v>0</v>
      </c>
      <c r="R28" s="78" t="s">
        <v>0</v>
      </c>
      <c r="S28" s="78"/>
      <c r="T28" s="78"/>
    </row>
    <row r="29" spans="2:20" ht="24.95" customHeight="1" x14ac:dyDescent="0.3">
      <c r="B29" s="78" t="s">
        <v>100</v>
      </c>
      <c r="C29" s="78" t="s">
        <v>101</v>
      </c>
      <c r="D29" s="78" t="s">
        <v>81</v>
      </c>
      <c r="E29" s="39" t="s">
        <v>82</v>
      </c>
      <c r="F29" s="39" t="s">
        <v>83</v>
      </c>
      <c r="G29" s="78" t="s">
        <v>102</v>
      </c>
      <c r="H29" s="78" t="s">
        <v>0</v>
      </c>
      <c r="I29" s="78" t="s">
        <v>103</v>
      </c>
      <c r="J29" s="78" t="s">
        <v>0</v>
      </c>
      <c r="K29" s="39" t="s">
        <v>62</v>
      </c>
      <c r="L29" s="39" t="s">
        <v>86</v>
      </c>
      <c r="M29" s="39" t="s">
        <v>104</v>
      </c>
      <c r="N29" s="78" t="s">
        <v>55</v>
      </c>
      <c r="O29" s="78" t="s">
        <v>88</v>
      </c>
      <c r="P29" s="78" t="s">
        <v>66</v>
      </c>
      <c r="Q29" s="78" t="s">
        <v>66</v>
      </c>
      <c r="R29" s="78" t="s">
        <v>66</v>
      </c>
      <c r="S29" s="78" t="s">
        <v>53</v>
      </c>
      <c r="T29" s="79">
        <f>755488*V1</f>
        <v>1019908.8</v>
      </c>
    </row>
    <row r="30" spans="2:20" ht="24.95" customHeight="1" x14ac:dyDescent="0.3">
      <c r="B30" s="78" t="s">
        <v>100</v>
      </c>
      <c r="C30" s="78" t="s">
        <v>0</v>
      </c>
      <c r="D30" s="78" t="s">
        <v>0</v>
      </c>
      <c r="E30" s="39" t="s">
        <v>0</v>
      </c>
      <c r="F30" s="39" t="s">
        <v>78</v>
      </c>
      <c r="G30" s="39" t="s">
        <v>89</v>
      </c>
      <c r="H30" s="39" t="s">
        <v>0</v>
      </c>
      <c r="I30" s="39" t="s">
        <v>0</v>
      </c>
      <c r="J30" s="39" t="s">
        <v>0</v>
      </c>
      <c r="K30" s="39" t="s">
        <v>62</v>
      </c>
      <c r="L30" s="39" t="s">
        <v>0</v>
      </c>
      <c r="M30" s="39" t="s">
        <v>69</v>
      </c>
      <c r="N30" s="78" t="s">
        <v>0</v>
      </c>
      <c r="O30" s="78" t="s">
        <v>0</v>
      </c>
      <c r="P30" s="78" t="s">
        <v>0</v>
      </c>
      <c r="Q30" s="78" t="s">
        <v>0</v>
      </c>
      <c r="R30" s="78" t="s">
        <v>0</v>
      </c>
      <c r="S30" s="78"/>
      <c r="T30" s="78"/>
    </row>
    <row r="31" spans="2:20" ht="24.95" customHeight="1" x14ac:dyDescent="0.3">
      <c r="B31" s="78" t="s">
        <v>100</v>
      </c>
      <c r="C31" s="39" t="s">
        <v>70</v>
      </c>
      <c r="D31" s="80" t="s">
        <v>0</v>
      </c>
      <c r="E31" s="78" t="s">
        <v>0</v>
      </c>
      <c r="F31" s="78" t="s">
        <v>0</v>
      </c>
      <c r="G31" s="78" t="s">
        <v>0</v>
      </c>
      <c r="H31" s="78" t="s">
        <v>0</v>
      </c>
      <c r="I31" s="78"/>
      <c r="J31" s="78"/>
      <c r="K31" s="43" t="s">
        <v>71</v>
      </c>
      <c r="L31" s="39" t="s">
        <v>72</v>
      </c>
      <c r="M31" s="39" t="s">
        <v>73</v>
      </c>
      <c r="N31" s="39" t="s">
        <v>0</v>
      </c>
      <c r="O31" s="39" t="s">
        <v>0</v>
      </c>
      <c r="P31" s="78" t="s">
        <v>0</v>
      </c>
      <c r="Q31" s="78" t="s">
        <v>0</v>
      </c>
      <c r="R31" s="78" t="s">
        <v>0</v>
      </c>
      <c r="S31" s="78"/>
      <c r="T31" s="78"/>
    </row>
    <row r="32" spans="2:20" ht="24.95" customHeight="1" x14ac:dyDescent="0.3">
      <c r="B32" s="78" t="s">
        <v>105</v>
      </c>
      <c r="C32" s="78" t="s">
        <v>106</v>
      </c>
      <c r="D32" s="78" t="s">
        <v>107</v>
      </c>
      <c r="E32" s="39" t="s">
        <v>108</v>
      </c>
      <c r="F32" s="39" t="s">
        <v>96</v>
      </c>
      <c r="G32" s="78" t="s">
        <v>109</v>
      </c>
      <c r="H32" s="78" t="s">
        <v>0</v>
      </c>
      <c r="I32" s="78" t="s">
        <v>110</v>
      </c>
      <c r="J32" s="78" t="s">
        <v>0</v>
      </c>
      <c r="K32" s="39" t="s">
        <v>62</v>
      </c>
      <c r="L32" s="39" t="s">
        <v>86</v>
      </c>
      <c r="M32" s="39" t="s">
        <v>104</v>
      </c>
      <c r="N32" s="78" t="s">
        <v>55</v>
      </c>
      <c r="O32" s="78" t="s">
        <v>111</v>
      </c>
      <c r="P32" s="78" t="s">
        <v>66</v>
      </c>
      <c r="Q32" s="78" t="s">
        <v>66</v>
      </c>
      <c r="R32" s="78" t="s">
        <v>67</v>
      </c>
      <c r="S32" s="78" t="s">
        <v>53</v>
      </c>
      <c r="T32" s="79">
        <f>385439*V1</f>
        <v>520342.65</v>
      </c>
    </row>
    <row r="33" spans="2:20" ht="24.95" customHeight="1" x14ac:dyDescent="0.3">
      <c r="B33" s="78" t="s">
        <v>105</v>
      </c>
      <c r="C33" s="78" t="s">
        <v>0</v>
      </c>
      <c r="D33" s="78" t="s">
        <v>0</v>
      </c>
      <c r="E33" s="39" t="s">
        <v>0</v>
      </c>
      <c r="F33" s="39" t="s">
        <v>78</v>
      </c>
      <c r="G33" s="39" t="s">
        <v>0</v>
      </c>
      <c r="H33" s="39" t="s">
        <v>0</v>
      </c>
      <c r="I33" s="39" t="s">
        <v>0</v>
      </c>
      <c r="J33" s="39" t="s">
        <v>0</v>
      </c>
      <c r="K33" s="39" t="s">
        <v>62</v>
      </c>
      <c r="L33" s="39" t="s">
        <v>86</v>
      </c>
      <c r="M33" s="39" t="s">
        <v>112</v>
      </c>
      <c r="N33" s="78" t="s">
        <v>0</v>
      </c>
      <c r="O33" s="78" t="s">
        <v>0</v>
      </c>
      <c r="P33" s="78" t="s">
        <v>0</v>
      </c>
      <c r="Q33" s="78" t="s">
        <v>0</v>
      </c>
      <c r="R33" s="78" t="s">
        <v>0</v>
      </c>
      <c r="S33" s="78"/>
      <c r="T33" s="78"/>
    </row>
    <row r="34" spans="2:20" ht="24.95" customHeight="1" x14ac:dyDescent="0.3">
      <c r="B34" s="78" t="s">
        <v>105</v>
      </c>
      <c r="C34" s="39" t="s">
        <v>70</v>
      </c>
      <c r="D34" s="80" t="s">
        <v>0</v>
      </c>
      <c r="E34" s="78" t="s">
        <v>0</v>
      </c>
      <c r="F34" s="78" t="s">
        <v>0</v>
      </c>
      <c r="G34" s="78" t="s">
        <v>0</v>
      </c>
      <c r="H34" s="78" t="s">
        <v>0</v>
      </c>
      <c r="I34" s="78"/>
      <c r="J34" s="78"/>
      <c r="K34" s="43" t="s">
        <v>71</v>
      </c>
      <c r="L34" s="39" t="s">
        <v>72</v>
      </c>
      <c r="M34" s="39" t="s">
        <v>73</v>
      </c>
      <c r="N34" s="39" t="s">
        <v>0</v>
      </c>
      <c r="O34" s="39" t="s">
        <v>0</v>
      </c>
      <c r="P34" s="78" t="s">
        <v>0</v>
      </c>
      <c r="Q34" s="78" t="s">
        <v>0</v>
      </c>
      <c r="R34" s="78" t="s">
        <v>0</v>
      </c>
      <c r="S34" s="78"/>
      <c r="T34" s="78"/>
    </row>
    <row r="35" spans="2:20" ht="24.95" customHeight="1" x14ac:dyDescent="0.3">
      <c r="B35" s="78" t="s">
        <v>113</v>
      </c>
      <c r="C35" s="78" t="s">
        <v>114</v>
      </c>
      <c r="D35" s="78" t="s">
        <v>81</v>
      </c>
      <c r="E35" s="39" t="s">
        <v>82</v>
      </c>
      <c r="F35" s="39" t="s">
        <v>96</v>
      </c>
      <c r="G35" s="78" t="s">
        <v>115</v>
      </c>
      <c r="H35" s="78" t="s">
        <v>0</v>
      </c>
      <c r="I35" s="78" t="s">
        <v>116</v>
      </c>
      <c r="J35" s="78" t="s">
        <v>0</v>
      </c>
      <c r="K35" s="39" t="s">
        <v>62</v>
      </c>
      <c r="L35" s="39" t="s">
        <v>86</v>
      </c>
      <c r="M35" s="39" t="s">
        <v>87</v>
      </c>
      <c r="N35" s="78" t="s">
        <v>55</v>
      </c>
      <c r="O35" s="78" t="s">
        <v>99</v>
      </c>
      <c r="P35" s="78" t="s">
        <v>66</v>
      </c>
      <c r="Q35" s="78" t="s">
        <v>66</v>
      </c>
      <c r="R35" s="78" t="s">
        <v>66</v>
      </c>
      <c r="S35" s="78" t="s">
        <v>53</v>
      </c>
      <c r="T35" s="79">
        <f>287130*V1</f>
        <v>387625.5</v>
      </c>
    </row>
    <row r="36" spans="2:20" ht="24.95" customHeight="1" x14ac:dyDescent="0.3">
      <c r="B36" s="78" t="s">
        <v>113</v>
      </c>
      <c r="C36" s="78" t="s">
        <v>0</v>
      </c>
      <c r="D36" s="78" t="s">
        <v>0</v>
      </c>
      <c r="E36" s="39" t="s">
        <v>0</v>
      </c>
      <c r="F36" s="39" t="s">
        <v>78</v>
      </c>
      <c r="G36" s="39" t="s">
        <v>0</v>
      </c>
      <c r="H36" s="39" t="s">
        <v>0</v>
      </c>
      <c r="I36" s="39" t="s">
        <v>0</v>
      </c>
      <c r="J36" s="39" t="s">
        <v>0</v>
      </c>
      <c r="K36" s="39" t="s">
        <v>62</v>
      </c>
      <c r="L36" s="39" t="s">
        <v>0</v>
      </c>
      <c r="M36" s="39" t="s">
        <v>69</v>
      </c>
      <c r="N36" s="78" t="s">
        <v>0</v>
      </c>
      <c r="O36" s="78" t="s">
        <v>0</v>
      </c>
      <c r="P36" s="78" t="s">
        <v>0</v>
      </c>
      <c r="Q36" s="78" t="s">
        <v>0</v>
      </c>
      <c r="R36" s="78" t="s">
        <v>0</v>
      </c>
      <c r="S36" s="78"/>
      <c r="T36" s="78"/>
    </row>
    <row r="37" spans="2:20" ht="24.95" customHeight="1" x14ac:dyDescent="0.3">
      <c r="B37" s="78" t="s">
        <v>113</v>
      </c>
      <c r="C37" s="39" t="s">
        <v>70</v>
      </c>
      <c r="D37" s="80" t="s">
        <v>0</v>
      </c>
      <c r="E37" s="78" t="s">
        <v>0</v>
      </c>
      <c r="F37" s="78" t="s">
        <v>0</v>
      </c>
      <c r="G37" s="78" t="s">
        <v>0</v>
      </c>
      <c r="H37" s="78" t="s">
        <v>0</v>
      </c>
      <c r="I37" s="78"/>
      <c r="J37" s="78"/>
      <c r="K37" s="43" t="s">
        <v>71</v>
      </c>
      <c r="L37" s="39" t="s">
        <v>72</v>
      </c>
      <c r="M37" s="39" t="s">
        <v>73</v>
      </c>
      <c r="N37" s="39" t="s">
        <v>0</v>
      </c>
      <c r="O37" s="39" t="s">
        <v>0</v>
      </c>
      <c r="P37" s="78" t="s">
        <v>0</v>
      </c>
      <c r="Q37" s="78" t="s">
        <v>0</v>
      </c>
      <c r="R37" s="78" t="s">
        <v>0</v>
      </c>
      <c r="S37" s="78"/>
      <c r="T37" s="78"/>
    </row>
    <row r="38" spans="2:20" ht="24.95" customHeight="1" x14ac:dyDescent="0.3">
      <c r="B38" s="78" t="s">
        <v>117</v>
      </c>
      <c r="C38" s="78" t="s">
        <v>118</v>
      </c>
      <c r="D38" s="78" t="s">
        <v>57</v>
      </c>
      <c r="E38" s="39" t="s">
        <v>58</v>
      </c>
      <c r="F38" s="39" t="s">
        <v>96</v>
      </c>
      <c r="G38" s="78" t="s">
        <v>119</v>
      </c>
      <c r="H38" s="78" t="s">
        <v>0</v>
      </c>
      <c r="I38" s="78" t="s">
        <v>120</v>
      </c>
      <c r="J38" s="78" t="s">
        <v>0</v>
      </c>
      <c r="K38" s="39" t="s">
        <v>62</v>
      </c>
      <c r="L38" s="39" t="s">
        <v>63</v>
      </c>
      <c r="M38" s="39" t="s">
        <v>64</v>
      </c>
      <c r="N38" s="78" t="s">
        <v>55</v>
      </c>
      <c r="O38" s="78" t="s">
        <v>99</v>
      </c>
      <c r="P38" s="78" t="s">
        <v>66</v>
      </c>
      <c r="Q38" s="78" t="s">
        <v>66</v>
      </c>
      <c r="R38" s="78" t="s">
        <v>121</v>
      </c>
      <c r="S38" s="78" t="s">
        <v>53</v>
      </c>
      <c r="T38" s="79">
        <f>295383*V1</f>
        <v>398767.05000000005</v>
      </c>
    </row>
    <row r="39" spans="2:20" ht="24.95" customHeight="1" x14ac:dyDescent="0.3">
      <c r="B39" s="78" t="s">
        <v>117</v>
      </c>
      <c r="C39" s="78" t="s">
        <v>0</v>
      </c>
      <c r="D39" s="78" t="s">
        <v>0</v>
      </c>
      <c r="E39" s="39" t="s">
        <v>0</v>
      </c>
      <c r="F39" s="39" t="s">
        <v>78</v>
      </c>
      <c r="G39" s="39" t="s">
        <v>0</v>
      </c>
      <c r="H39" s="39" t="s">
        <v>0</v>
      </c>
      <c r="I39" s="39" t="s">
        <v>0</v>
      </c>
      <c r="J39" s="39" t="s">
        <v>0</v>
      </c>
      <c r="K39" s="39" t="s">
        <v>62</v>
      </c>
      <c r="L39" s="39" t="s">
        <v>0</v>
      </c>
      <c r="M39" s="39" t="s">
        <v>69</v>
      </c>
      <c r="N39" s="78" t="s">
        <v>0</v>
      </c>
      <c r="O39" s="78" t="s">
        <v>0</v>
      </c>
      <c r="P39" s="78" t="s">
        <v>0</v>
      </c>
      <c r="Q39" s="78" t="s">
        <v>0</v>
      </c>
      <c r="R39" s="78" t="s">
        <v>0</v>
      </c>
      <c r="S39" s="78"/>
      <c r="T39" s="78"/>
    </row>
    <row r="40" spans="2:20" ht="24.95" customHeight="1" x14ac:dyDescent="0.3">
      <c r="B40" s="78" t="s">
        <v>117</v>
      </c>
      <c r="C40" s="39" t="s">
        <v>70</v>
      </c>
      <c r="D40" s="80" t="s">
        <v>0</v>
      </c>
      <c r="E40" s="78" t="s">
        <v>0</v>
      </c>
      <c r="F40" s="78" t="s">
        <v>0</v>
      </c>
      <c r="G40" s="78" t="s">
        <v>0</v>
      </c>
      <c r="H40" s="78" t="s">
        <v>0</v>
      </c>
      <c r="I40" s="78"/>
      <c r="J40" s="78"/>
      <c r="K40" s="43" t="s">
        <v>71</v>
      </c>
      <c r="L40" s="39" t="s">
        <v>72</v>
      </c>
      <c r="M40" s="39" t="s">
        <v>73</v>
      </c>
      <c r="N40" s="39" t="s">
        <v>0</v>
      </c>
      <c r="O40" s="39" t="s">
        <v>0</v>
      </c>
      <c r="P40" s="78" t="s">
        <v>0</v>
      </c>
      <c r="Q40" s="78" t="s">
        <v>0</v>
      </c>
      <c r="R40" s="78" t="s">
        <v>0</v>
      </c>
      <c r="S40" s="78"/>
      <c r="T40" s="78"/>
    </row>
    <row r="41" spans="2:20" ht="24.95" customHeight="1" x14ac:dyDescent="0.3">
      <c r="B41" s="78" t="s">
        <v>122</v>
      </c>
      <c r="C41" s="78" t="s">
        <v>123</v>
      </c>
      <c r="D41" s="78" t="s">
        <v>124</v>
      </c>
      <c r="E41" s="39" t="s">
        <v>125</v>
      </c>
      <c r="F41" s="39" t="s">
        <v>126</v>
      </c>
      <c r="G41" s="78" t="s">
        <v>127</v>
      </c>
      <c r="H41" s="78" t="s">
        <v>0</v>
      </c>
      <c r="I41" s="78" t="s">
        <v>120</v>
      </c>
      <c r="J41" s="78" t="s">
        <v>0</v>
      </c>
      <c r="K41" s="39" t="s">
        <v>62</v>
      </c>
      <c r="L41" s="39" t="s">
        <v>128</v>
      </c>
      <c r="M41" s="39" t="s">
        <v>129</v>
      </c>
      <c r="N41" s="78" t="s">
        <v>55</v>
      </c>
      <c r="O41" s="78" t="s">
        <v>69</v>
      </c>
      <c r="P41" s="78" t="s">
        <v>66</v>
      </c>
      <c r="Q41" s="78" t="s">
        <v>66</v>
      </c>
      <c r="R41" s="78" t="s">
        <v>66</v>
      </c>
      <c r="S41" s="78" t="s">
        <v>66</v>
      </c>
      <c r="T41" s="79">
        <f>136077*V1</f>
        <v>183703.95</v>
      </c>
    </row>
    <row r="42" spans="2:20" ht="24.95" customHeight="1" x14ac:dyDescent="0.3">
      <c r="B42" s="78" t="s">
        <v>122</v>
      </c>
      <c r="C42" s="78" t="s">
        <v>0</v>
      </c>
      <c r="D42" s="78" t="s">
        <v>0</v>
      </c>
      <c r="E42" s="39" t="s">
        <v>0</v>
      </c>
      <c r="F42" s="39" t="s">
        <v>68</v>
      </c>
      <c r="G42" s="39" t="s">
        <v>0</v>
      </c>
      <c r="H42" s="39" t="s">
        <v>0</v>
      </c>
      <c r="I42" s="39" t="s">
        <v>0</v>
      </c>
      <c r="J42" s="39" t="s">
        <v>0</v>
      </c>
      <c r="K42" s="39" t="s">
        <v>62</v>
      </c>
      <c r="L42" s="39" t="s">
        <v>0</v>
      </c>
      <c r="M42" s="39" t="s">
        <v>69</v>
      </c>
      <c r="N42" s="78" t="s">
        <v>0</v>
      </c>
      <c r="O42" s="78" t="s">
        <v>0</v>
      </c>
      <c r="P42" s="78" t="s">
        <v>0</v>
      </c>
      <c r="Q42" s="78" t="s">
        <v>0</v>
      </c>
      <c r="R42" s="78" t="s">
        <v>0</v>
      </c>
      <c r="S42" s="78"/>
      <c r="T42" s="78"/>
    </row>
    <row r="43" spans="2:20" ht="24.95" customHeight="1" x14ac:dyDescent="0.3">
      <c r="B43" s="78" t="s">
        <v>122</v>
      </c>
      <c r="C43" s="39" t="s">
        <v>70</v>
      </c>
      <c r="D43" s="80" t="s">
        <v>0</v>
      </c>
      <c r="E43" s="78" t="s">
        <v>0</v>
      </c>
      <c r="F43" s="78" t="s">
        <v>0</v>
      </c>
      <c r="G43" s="78" t="s">
        <v>0</v>
      </c>
      <c r="H43" s="78" t="s">
        <v>0</v>
      </c>
      <c r="I43" s="78"/>
      <c r="J43" s="78"/>
      <c r="K43" s="43" t="s">
        <v>71</v>
      </c>
      <c r="L43" s="39" t="s">
        <v>72</v>
      </c>
      <c r="M43" s="39" t="s">
        <v>73</v>
      </c>
      <c r="N43" s="39" t="s">
        <v>0</v>
      </c>
      <c r="O43" s="39" t="s">
        <v>0</v>
      </c>
      <c r="P43" s="78" t="s">
        <v>0</v>
      </c>
      <c r="Q43" s="78" t="s">
        <v>0</v>
      </c>
      <c r="R43" s="78" t="s">
        <v>0</v>
      </c>
      <c r="S43" s="78"/>
      <c r="T43" s="78"/>
    </row>
    <row r="44" spans="2:20" ht="24.95" customHeight="1" x14ac:dyDescent="0.3">
      <c r="B44" s="78" t="s">
        <v>130</v>
      </c>
      <c r="C44" s="78" t="s">
        <v>131</v>
      </c>
      <c r="D44" s="78" t="s">
        <v>124</v>
      </c>
      <c r="E44" s="39" t="s">
        <v>125</v>
      </c>
      <c r="F44" s="39" t="s">
        <v>126</v>
      </c>
      <c r="G44" s="78" t="s">
        <v>132</v>
      </c>
      <c r="H44" s="78" t="s">
        <v>0</v>
      </c>
      <c r="I44" s="78" t="s">
        <v>120</v>
      </c>
      <c r="J44" s="78" t="s">
        <v>0</v>
      </c>
      <c r="K44" s="39" t="s">
        <v>62</v>
      </c>
      <c r="L44" s="39" t="s">
        <v>128</v>
      </c>
      <c r="M44" s="39" t="s">
        <v>129</v>
      </c>
      <c r="N44" s="78" t="s">
        <v>55</v>
      </c>
      <c r="O44" s="78" t="s">
        <v>69</v>
      </c>
      <c r="P44" s="78" t="s">
        <v>66</v>
      </c>
      <c r="Q44" s="78" t="s">
        <v>66</v>
      </c>
      <c r="R44" s="78" t="s">
        <v>66</v>
      </c>
      <c r="S44" s="78" t="s">
        <v>66</v>
      </c>
      <c r="T44" s="79">
        <f>142737*V1</f>
        <v>192694.95</v>
      </c>
    </row>
    <row r="45" spans="2:20" ht="24.95" customHeight="1" x14ac:dyDescent="0.3">
      <c r="B45" s="78" t="s">
        <v>130</v>
      </c>
      <c r="C45" s="78" t="s">
        <v>0</v>
      </c>
      <c r="D45" s="78" t="s">
        <v>0</v>
      </c>
      <c r="E45" s="39" t="s">
        <v>0</v>
      </c>
      <c r="F45" s="39" t="s">
        <v>68</v>
      </c>
      <c r="G45" s="39" t="s">
        <v>0</v>
      </c>
      <c r="H45" s="39" t="s">
        <v>0</v>
      </c>
      <c r="I45" s="39" t="s">
        <v>0</v>
      </c>
      <c r="J45" s="39" t="s">
        <v>0</v>
      </c>
      <c r="K45" s="39" t="s">
        <v>62</v>
      </c>
      <c r="L45" s="39" t="s">
        <v>0</v>
      </c>
      <c r="M45" s="39" t="s">
        <v>69</v>
      </c>
      <c r="N45" s="78" t="s">
        <v>0</v>
      </c>
      <c r="O45" s="78" t="s">
        <v>0</v>
      </c>
      <c r="P45" s="78" t="s">
        <v>0</v>
      </c>
      <c r="Q45" s="78" t="s">
        <v>0</v>
      </c>
      <c r="R45" s="78" t="s">
        <v>0</v>
      </c>
      <c r="S45" s="78"/>
      <c r="T45" s="78"/>
    </row>
    <row r="46" spans="2:20" ht="24.95" customHeight="1" x14ac:dyDescent="0.3">
      <c r="B46" s="78" t="s">
        <v>130</v>
      </c>
      <c r="C46" s="39" t="s">
        <v>70</v>
      </c>
      <c r="D46" s="80" t="s">
        <v>0</v>
      </c>
      <c r="E46" s="78" t="s">
        <v>0</v>
      </c>
      <c r="F46" s="78" t="s">
        <v>0</v>
      </c>
      <c r="G46" s="78" t="s">
        <v>0</v>
      </c>
      <c r="H46" s="78" t="s">
        <v>0</v>
      </c>
      <c r="I46" s="78"/>
      <c r="J46" s="78"/>
      <c r="K46" s="43" t="s">
        <v>71</v>
      </c>
      <c r="L46" s="39" t="s">
        <v>72</v>
      </c>
      <c r="M46" s="39" t="s">
        <v>73</v>
      </c>
      <c r="N46" s="39" t="s">
        <v>0</v>
      </c>
      <c r="O46" s="39" t="s">
        <v>0</v>
      </c>
      <c r="P46" s="78" t="s">
        <v>0</v>
      </c>
      <c r="Q46" s="78" t="s">
        <v>0</v>
      </c>
      <c r="R46" s="78" t="s">
        <v>0</v>
      </c>
      <c r="S46" s="78"/>
      <c r="T46" s="78"/>
    </row>
    <row r="47" spans="2:20" ht="24.95" customHeight="1" x14ac:dyDescent="0.3">
      <c r="B47" s="78" t="s">
        <v>133</v>
      </c>
      <c r="C47" s="78" t="s">
        <v>134</v>
      </c>
      <c r="D47" s="78" t="s">
        <v>135</v>
      </c>
      <c r="E47" s="39" t="s">
        <v>136</v>
      </c>
      <c r="F47" s="39" t="s">
        <v>137</v>
      </c>
      <c r="G47" s="78" t="s">
        <v>120</v>
      </c>
      <c r="H47" s="78" t="s">
        <v>0</v>
      </c>
      <c r="I47" s="78" t="s">
        <v>0</v>
      </c>
      <c r="J47" s="78" t="s">
        <v>0</v>
      </c>
      <c r="K47" s="39" t="s">
        <v>62</v>
      </c>
      <c r="L47" s="39" t="s">
        <v>0</v>
      </c>
      <c r="M47" s="39" t="s">
        <v>69</v>
      </c>
      <c r="N47" s="78" t="s">
        <v>74</v>
      </c>
      <c r="O47" s="78" t="s">
        <v>69</v>
      </c>
      <c r="P47" s="78" t="s">
        <v>66</v>
      </c>
      <c r="Q47" s="78" t="s">
        <v>66</v>
      </c>
      <c r="R47" s="78" t="s">
        <v>66</v>
      </c>
      <c r="S47" s="78" t="s">
        <v>66</v>
      </c>
      <c r="T47" s="79">
        <f>16739*V1</f>
        <v>22597.65</v>
      </c>
    </row>
    <row r="48" spans="2:20" ht="24.95" customHeight="1" x14ac:dyDescent="0.3">
      <c r="B48" s="78" t="s">
        <v>133</v>
      </c>
      <c r="C48" s="78" t="s">
        <v>0</v>
      </c>
      <c r="D48" s="78" t="s">
        <v>0</v>
      </c>
      <c r="E48" s="39" t="s">
        <v>0</v>
      </c>
      <c r="F48" s="39" t="s">
        <v>68</v>
      </c>
      <c r="G48" s="39" t="s">
        <v>0</v>
      </c>
      <c r="H48" s="39" t="s">
        <v>0</v>
      </c>
      <c r="I48" s="39" t="s">
        <v>0</v>
      </c>
      <c r="J48" s="39" t="s">
        <v>0</v>
      </c>
      <c r="K48" s="39" t="s">
        <v>62</v>
      </c>
      <c r="L48" s="39" t="s">
        <v>0</v>
      </c>
      <c r="M48" s="39" t="s">
        <v>69</v>
      </c>
      <c r="N48" s="78" t="s">
        <v>0</v>
      </c>
      <c r="O48" s="78" t="s">
        <v>0</v>
      </c>
      <c r="P48" s="78" t="s">
        <v>0</v>
      </c>
      <c r="Q48" s="78" t="s">
        <v>0</v>
      </c>
      <c r="R48" s="78" t="s">
        <v>0</v>
      </c>
      <c r="S48" s="78"/>
      <c r="T48" s="78"/>
    </row>
    <row r="49" spans="2:20" ht="24.95" customHeight="1" x14ac:dyDescent="0.3">
      <c r="B49" s="78" t="s">
        <v>133</v>
      </c>
      <c r="C49" s="39" t="s">
        <v>70</v>
      </c>
      <c r="D49" s="80" t="s">
        <v>0</v>
      </c>
      <c r="E49" s="78" t="s">
        <v>0</v>
      </c>
      <c r="F49" s="78" t="s">
        <v>0</v>
      </c>
      <c r="G49" s="78" t="s">
        <v>0</v>
      </c>
      <c r="H49" s="78" t="s">
        <v>0</v>
      </c>
      <c r="I49" s="78"/>
      <c r="J49" s="78"/>
      <c r="K49" s="39" t="s">
        <v>0</v>
      </c>
      <c r="L49" s="39" t="s">
        <v>72</v>
      </c>
      <c r="M49" s="39" t="s">
        <v>73</v>
      </c>
      <c r="N49" s="39" t="s">
        <v>0</v>
      </c>
      <c r="O49" s="39" t="s">
        <v>0</v>
      </c>
      <c r="P49" s="78" t="s">
        <v>0</v>
      </c>
      <c r="Q49" s="78" t="s">
        <v>0</v>
      </c>
      <c r="R49" s="78" t="s">
        <v>0</v>
      </c>
      <c r="S49" s="78"/>
      <c r="T49" s="78"/>
    </row>
    <row r="50" spans="2:20" ht="24.95" customHeight="1" x14ac:dyDescent="0.3">
      <c r="B50" s="78" t="s">
        <v>138</v>
      </c>
      <c r="C50" s="78" t="s">
        <v>139</v>
      </c>
      <c r="D50" s="78" t="s">
        <v>135</v>
      </c>
      <c r="E50" s="39" t="s">
        <v>140</v>
      </c>
      <c r="F50" s="39" t="s">
        <v>137</v>
      </c>
      <c r="G50" s="78" t="s">
        <v>61</v>
      </c>
      <c r="H50" s="78" t="s">
        <v>0</v>
      </c>
      <c r="I50" s="78" t="s">
        <v>0</v>
      </c>
      <c r="J50" s="78" t="s">
        <v>0</v>
      </c>
      <c r="K50" s="39" t="s">
        <v>62</v>
      </c>
      <c r="L50" s="39" t="s">
        <v>0</v>
      </c>
      <c r="M50" s="39" t="s">
        <v>69</v>
      </c>
      <c r="N50" s="78" t="s">
        <v>74</v>
      </c>
      <c r="O50" s="78" t="s">
        <v>69</v>
      </c>
      <c r="P50" s="78" t="s">
        <v>66</v>
      </c>
      <c r="Q50" s="78" t="s">
        <v>66</v>
      </c>
      <c r="R50" s="78" t="s">
        <v>66</v>
      </c>
      <c r="S50" s="78" t="s">
        <v>66</v>
      </c>
      <c r="T50" s="79">
        <f>36282*V1</f>
        <v>48980.700000000004</v>
      </c>
    </row>
    <row r="51" spans="2:20" ht="24.95" customHeight="1" x14ac:dyDescent="0.3">
      <c r="B51" s="78" t="s">
        <v>138</v>
      </c>
      <c r="C51" s="78" t="s">
        <v>0</v>
      </c>
      <c r="D51" s="78" t="s">
        <v>0</v>
      </c>
      <c r="E51" s="39" t="s">
        <v>0</v>
      </c>
      <c r="F51" s="39" t="s">
        <v>68</v>
      </c>
      <c r="G51" s="39" t="s">
        <v>0</v>
      </c>
      <c r="H51" s="39" t="s">
        <v>0</v>
      </c>
      <c r="I51" s="39" t="s">
        <v>0</v>
      </c>
      <c r="J51" s="39" t="s">
        <v>0</v>
      </c>
      <c r="K51" s="39" t="s">
        <v>62</v>
      </c>
      <c r="L51" s="39" t="s">
        <v>0</v>
      </c>
      <c r="M51" s="39" t="s">
        <v>69</v>
      </c>
      <c r="N51" s="78" t="s">
        <v>0</v>
      </c>
      <c r="O51" s="78" t="s">
        <v>0</v>
      </c>
      <c r="P51" s="78" t="s">
        <v>0</v>
      </c>
      <c r="Q51" s="78" t="s">
        <v>0</v>
      </c>
      <c r="R51" s="78" t="s">
        <v>0</v>
      </c>
      <c r="S51" s="78"/>
      <c r="T51" s="78"/>
    </row>
    <row r="52" spans="2:20" ht="24.95" customHeight="1" x14ac:dyDescent="0.3">
      <c r="B52" s="78" t="s">
        <v>138</v>
      </c>
      <c r="C52" s="39" t="s">
        <v>70</v>
      </c>
      <c r="D52" s="80" t="s">
        <v>0</v>
      </c>
      <c r="E52" s="78" t="s">
        <v>0</v>
      </c>
      <c r="F52" s="78" t="s">
        <v>0</v>
      </c>
      <c r="G52" s="78" t="s">
        <v>0</v>
      </c>
      <c r="H52" s="78" t="s">
        <v>0</v>
      </c>
      <c r="I52" s="78"/>
      <c r="J52" s="78"/>
      <c r="K52" s="39" t="s">
        <v>0</v>
      </c>
      <c r="L52" s="39" t="s">
        <v>72</v>
      </c>
      <c r="M52" s="39" t="s">
        <v>73</v>
      </c>
      <c r="N52" s="39" t="s">
        <v>0</v>
      </c>
      <c r="O52" s="39" t="s">
        <v>0</v>
      </c>
      <c r="P52" s="78" t="s">
        <v>0</v>
      </c>
      <c r="Q52" s="78" t="s">
        <v>0</v>
      </c>
      <c r="R52" s="78" t="s">
        <v>0</v>
      </c>
      <c r="S52" s="78"/>
      <c r="T52" s="78"/>
    </row>
    <row r="53" spans="2:20" ht="24.95" customHeight="1" x14ac:dyDescent="0.3">
      <c r="B53" s="78" t="s">
        <v>141</v>
      </c>
      <c r="C53" s="78" t="s">
        <v>134</v>
      </c>
      <c r="D53" s="78" t="s">
        <v>135</v>
      </c>
      <c r="E53" s="39" t="s">
        <v>142</v>
      </c>
      <c r="F53" s="39" t="s">
        <v>137</v>
      </c>
      <c r="G53" s="78" t="s">
        <v>120</v>
      </c>
      <c r="H53" s="78" t="s">
        <v>0</v>
      </c>
      <c r="I53" s="78" t="s">
        <v>0</v>
      </c>
      <c r="J53" s="78" t="s">
        <v>0</v>
      </c>
      <c r="K53" s="39" t="s">
        <v>62</v>
      </c>
      <c r="L53" s="39" t="s">
        <v>0</v>
      </c>
      <c r="M53" s="39" t="s">
        <v>69</v>
      </c>
      <c r="N53" s="78" t="s">
        <v>55</v>
      </c>
      <c r="O53" s="78" t="s">
        <v>69</v>
      </c>
      <c r="P53" s="78" t="s">
        <v>66</v>
      </c>
      <c r="Q53" s="78" t="s">
        <v>66</v>
      </c>
      <c r="R53" s="78" t="s">
        <v>66</v>
      </c>
      <c r="S53" s="78" t="s">
        <v>66</v>
      </c>
      <c r="T53" s="79">
        <f>8900*V1</f>
        <v>12015</v>
      </c>
    </row>
    <row r="54" spans="2:20" ht="24.95" customHeight="1" x14ac:dyDescent="0.3">
      <c r="B54" s="78" t="s">
        <v>141</v>
      </c>
      <c r="C54" s="78" t="s">
        <v>0</v>
      </c>
      <c r="D54" s="78" t="s">
        <v>0</v>
      </c>
      <c r="E54" s="39" t="s">
        <v>0</v>
      </c>
      <c r="F54" s="39" t="s">
        <v>68</v>
      </c>
      <c r="G54" s="39" t="s">
        <v>0</v>
      </c>
      <c r="H54" s="39" t="s">
        <v>0</v>
      </c>
      <c r="I54" s="39" t="s">
        <v>0</v>
      </c>
      <c r="J54" s="39" t="s">
        <v>0</v>
      </c>
      <c r="K54" s="39" t="s">
        <v>62</v>
      </c>
      <c r="L54" s="39" t="s">
        <v>0</v>
      </c>
      <c r="M54" s="39" t="s">
        <v>69</v>
      </c>
      <c r="N54" s="78" t="s">
        <v>0</v>
      </c>
      <c r="O54" s="78" t="s">
        <v>0</v>
      </c>
      <c r="P54" s="78" t="s">
        <v>0</v>
      </c>
      <c r="Q54" s="78" t="s">
        <v>0</v>
      </c>
      <c r="R54" s="78" t="s">
        <v>0</v>
      </c>
      <c r="S54" s="78"/>
      <c r="T54" s="78"/>
    </row>
    <row r="55" spans="2:20" ht="24.95" customHeight="1" x14ac:dyDescent="0.3">
      <c r="B55" s="78" t="s">
        <v>141</v>
      </c>
      <c r="C55" s="39" t="s">
        <v>70</v>
      </c>
      <c r="D55" s="80" t="s">
        <v>0</v>
      </c>
      <c r="E55" s="78" t="s">
        <v>0</v>
      </c>
      <c r="F55" s="78" t="s">
        <v>0</v>
      </c>
      <c r="G55" s="78" t="s">
        <v>0</v>
      </c>
      <c r="H55" s="78" t="s">
        <v>0</v>
      </c>
      <c r="I55" s="78"/>
      <c r="J55" s="78"/>
      <c r="K55" s="39" t="s">
        <v>0</v>
      </c>
      <c r="L55" s="39" t="s">
        <v>72</v>
      </c>
      <c r="M55" s="39" t="s">
        <v>73</v>
      </c>
      <c r="N55" s="39" t="s">
        <v>0</v>
      </c>
      <c r="O55" s="39" t="s">
        <v>0</v>
      </c>
      <c r="P55" s="78" t="s">
        <v>0</v>
      </c>
      <c r="Q55" s="78" t="s">
        <v>0</v>
      </c>
      <c r="R55" s="78" t="s">
        <v>0</v>
      </c>
      <c r="S55" s="78"/>
      <c r="T55" s="78"/>
    </row>
    <row r="56" spans="2:20" ht="24.95" customHeight="1" x14ac:dyDescent="0.3">
      <c r="B56" s="78" t="s">
        <v>143</v>
      </c>
      <c r="C56" s="88" t="s">
        <v>158</v>
      </c>
      <c r="D56" s="78" t="s">
        <v>144</v>
      </c>
      <c r="E56" s="39" t="s">
        <v>145</v>
      </c>
      <c r="F56" s="39" t="s">
        <v>69</v>
      </c>
      <c r="G56" s="78" t="s">
        <v>0</v>
      </c>
      <c r="H56" s="78" t="s">
        <v>0</v>
      </c>
      <c r="I56" s="78" t="s">
        <v>0</v>
      </c>
      <c r="J56" s="78" t="s">
        <v>0</v>
      </c>
      <c r="K56" s="39" t="s">
        <v>69</v>
      </c>
      <c r="L56" s="39" t="s">
        <v>0</v>
      </c>
      <c r="M56" s="39" t="s">
        <v>69</v>
      </c>
      <c r="N56" s="78" t="s">
        <v>55</v>
      </c>
      <c r="O56" s="78" t="s">
        <v>69</v>
      </c>
      <c r="P56" s="78" t="s">
        <v>0</v>
      </c>
      <c r="Q56" s="78" t="s">
        <v>0</v>
      </c>
      <c r="R56" s="78" t="s">
        <v>69</v>
      </c>
      <c r="S56" s="78" t="s">
        <v>69</v>
      </c>
      <c r="T56" s="85">
        <v>350000</v>
      </c>
    </row>
    <row r="57" spans="2:20" ht="24.95" customHeight="1" x14ac:dyDescent="0.3">
      <c r="B57" s="78" t="s">
        <v>143</v>
      </c>
      <c r="C57" s="78" t="s">
        <v>0</v>
      </c>
      <c r="D57" s="78" t="s">
        <v>0</v>
      </c>
      <c r="E57" s="39" t="s">
        <v>0</v>
      </c>
      <c r="F57" s="39" t="s">
        <v>69</v>
      </c>
      <c r="G57" s="39" t="s">
        <v>0</v>
      </c>
      <c r="H57" s="39" t="s">
        <v>0</v>
      </c>
      <c r="I57" s="39" t="s">
        <v>0</v>
      </c>
      <c r="J57" s="39" t="s">
        <v>0</v>
      </c>
      <c r="K57" s="39" t="s">
        <v>69</v>
      </c>
      <c r="L57" s="39" t="s">
        <v>0</v>
      </c>
      <c r="M57" s="39" t="s">
        <v>69</v>
      </c>
      <c r="N57" s="78" t="s">
        <v>0</v>
      </c>
      <c r="O57" s="78" t="s">
        <v>0</v>
      </c>
      <c r="P57" s="78" t="s">
        <v>0</v>
      </c>
      <c r="Q57" s="78" t="s">
        <v>0</v>
      </c>
      <c r="R57" s="78" t="s">
        <v>0</v>
      </c>
      <c r="S57" s="78"/>
      <c r="T57" s="86"/>
    </row>
    <row r="58" spans="2:20" ht="24.95" customHeight="1" x14ac:dyDescent="0.3">
      <c r="B58" s="78" t="s">
        <v>143</v>
      </c>
      <c r="C58" s="39" t="s">
        <v>70</v>
      </c>
      <c r="D58" s="80" t="s">
        <v>0</v>
      </c>
      <c r="E58" s="78" t="s">
        <v>0</v>
      </c>
      <c r="F58" s="78" t="s">
        <v>0</v>
      </c>
      <c r="G58" s="78" t="s">
        <v>0</v>
      </c>
      <c r="H58" s="78" t="s">
        <v>0</v>
      </c>
      <c r="I58" s="78"/>
      <c r="J58" s="78"/>
      <c r="K58" s="39" t="s">
        <v>0</v>
      </c>
      <c r="L58" s="39" t="s">
        <v>0</v>
      </c>
      <c r="M58" s="39" t="s">
        <v>0</v>
      </c>
      <c r="N58" s="39" t="s">
        <v>0</v>
      </c>
      <c r="O58" s="39" t="s">
        <v>0</v>
      </c>
      <c r="P58" s="78" t="s">
        <v>0</v>
      </c>
      <c r="Q58" s="78" t="s">
        <v>0</v>
      </c>
      <c r="R58" s="78" t="s">
        <v>0</v>
      </c>
      <c r="S58" s="78"/>
      <c r="T58" s="87"/>
    </row>
    <row r="59" spans="2:20" ht="24.95" customHeight="1" x14ac:dyDescent="0.3">
      <c r="B59" s="78" t="s">
        <v>146</v>
      </c>
      <c r="C59" s="88" t="s">
        <v>158</v>
      </c>
      <c r="D59" s="78" t="s">
        <v>144</v>
      </c>
      <c r="E59" s="39" t="s">
        <v>147</v>
      </c>
      <c r="F59" s="39" t="s">
        <v>69</v>
      </c>
      <c r="G59" s="78" t="s">
        <v>0</v>
      </c>
      <c r="H59" s="78" t="s">
        <v>0</v>
      </c>
      <c r="I59" s="78" t="s">
        <v>0</v>
      </c>
      <c r="J59" s="78" t="s">
        <v>0</v>
      </c>
      <c r="K59" s="39" t="s">
        <v>69</v>
      </c>
      <c r="L59" s="39" t="s">
        <v>0</v>
      </c>
      <c r="M59" s="39" t="s">
        <v>69</v>
      </c>
      <c r="N59" s="78" t="s">
        <v>55</v>
      </c>
      <c r="O59" s="78" t="s">
        <v>69</v>
      </c>
      <c r="P59" s="78" t="s">
        <v>0</v>
      </c>
      <c r="Q59" s="78" t="s">
        <v>0</v>
      </c>
      <c r="R59" s="78" t="s">
        <v>69</v>
      </c>
      <c r="S59" s="78" t="s">
        <v>69</v>
      </c>
      <c r="T59" s="85">
        <v>250000</v>
      </c>
    </row>
    <row r="60" spans="2:20" ht="24.95" customHeight="1" x14ac:dyDescent="0.3">
      <c r="B60" s="78" t="s">
        <v>146</v>
      </c>
      <c r="C60" s="78" t="s">
        <v>0</v>
      </c>
      <c r="D60" s="78" t="s">
        <v>0</v>
      </c>
      <c r="E60" s="39" t="s">
        <v>0</v>
      </c>
      <c r="F60" s="39" t="s">
        <v>69</v>
      </c>
      <c r="G60" s="39" t="s">
        <v>0</v>
      </c>
      <c r="H60" s="39" t="s">
        <v>0</v>
      </c>
      <c r="I60" s="39" t="s">
        <v>0</v>
      </c>
      <c r="J60" s="39" t="s">
        <v>0</v>
      </c>
      <c r="K60" s="39" t="s">
        <v>69</v>
      </c>
      <c r="L60" s="39" t="s">
        <v>0</v>
      </c>
      <c r="M60" s="39" t="s">
        <v>69</v>
      </c>
      <c r="N60" s="78" t="s">
        <v>0</v>
      </c>
      <c r="O60" s="78" t="s">
        <v>0</v>
      </c>
      <c r="P60" s="78" t="s">
        <v>0</v>
      </c>
      <c r="Q60" s="78" t="s">
        <v>0</v>
      </c>
      <c r="R60" s="78" t="s">
        <v>0</v>
      </c>
      <c r="S60" s="78"/>
      <c r="T60" s="86"/>
    </row>
    <row r="61" spans="2:20" ht="24.95" customHeight="1" x14ac:dyDescent="0.3">
      <c r="B61" s="78" t="s">
        <v>146</v>
      </c>
      <c r="C61" s="39" t="s">
        <v>70</v>
      </c>
      <c r="D61" s="80" t="s">
        <v>0</v>
      </c>
      <c r="E61" s="78" t="s">
        <v>0</v>
      </c>
      <c r="F61" s="78" t="s">
        <v>0</v>
      </c>
      <c r="G61" s="78" t="s">
        <v>0</v>
      </c>
      <c r="H61" s="78" t="s">
        <v>0</v>
      </c>
      <c r="I61" s="78"/>
      <c r="J61" s="78"/>
      <c r="K61" s="39" t="s">
        <v>0</v>
      </c>
      <c r="L61" s="39" t="s">
        <v>0</v>
      </c>
      <c r="M61" s="39" t="s">
        <v>0</v>
      </c>
      <c r="N61" s="39" t="s">
        <v>0</v>
      </c>
      <c r="O61" s="39" t="s">
        <v>0</v>
      </c>
      <c r="P61" s="78" t="s">
        <v>0</v>
      </c>
      <c r="Q61" s="78" t="s">
        <v>0</v>
      </c>
      <c r="R61" s="78" t="s">
        <v>0</v>
      </c>
      <c r="S61" s="78"/>
      <c r="T61" s="87"/>
    </row>
    <row r="62" spans="2:20" ht="24.95" customHeight="1" x14ac:dyDescent="0.3">
      <c r="B62" s="78" t="s">
        <v>148</v>
      </c>
      <c r="C62" s="88" t="s">
        <v>158</v>
      </c>
      <c r="D62" s="78" t="s">
        <v>144</v>
      </c>
      <c r="E62" s="39" t="s">
        <v>149</v>
      </c>
      <c r="F62" s="39" t="s">
        <v>69</v>
      </c>
      <c r="G62" s="78" t="s">
        <v>0</v>
      </c>
      <c r="H62" s="78" t="s">
        <v>0</v>
      </c>
      <c r="I62" s="78" t="s">
        <v>0</v>
      </c>
      <c r="J62" s="78" t="s">
        <v>0</v>
      </c>
      <c r="K62" s="39" t="s">
        <v>69</v>
      </c>
      <c r="L62" s="39" t="s">
        <v>0</v>
      </c>
      <c r="M62" s="39" t="s">
        <v>69</v>
      </c>
      <c r="N62" s="78" t="s">
        <v>55</v>
      </c>
      <c r="O62" s="78" t="s">
        <v>69</v>
      </c>
      <c r="P62" s="78" t="s">
        <v>0</v>
      </c>
      <c r="Q62" s="78" t="s">
        <v>0</v>
      </c>
      <c r="R62" s="78" t="s">
        <v>69</v>
      </c>
      <c r="S62" s="78" t="s">
        <v>69</v>
      </c>
      <c r="T62" s="85">
        <v>300000</v>
      </c>
    </row>
    <row r="63" spans="2:20" ht="24.95" customHeight="1" x14ac:dyDescent="0.3">
      <c r="B63" s="78" t="s">
        <v>148</v>
      </c>
      <c r="C63" s="78" t="s">
        <v>0</v>
      </c>
      <c r="D63" s="78" t="s">
        <v>0</v>
      </c>
      <c r="E63" s="39" t="s">
        <v>0</v>
      </c>
      <c r="F63" s="39" t="s">
        <v>69</v>
      </c>
      <c r="G63" s="39" t="s">
        <v>0</v>
      </c>
      <c r="H63" s="39" t="s">
        <v>0</v>
      </c>
      <c r="I63" s="39" t="s">
        <v>0</v>
      </c>
      <c r="J63" s="39" t="s">
        <v>0</v>
      </c>
      <c r="K63" s="39" t="s">
        <v>69</v>
      </c>
      <c r="L63" s="39" t="s">
        <v>0</v>
      </c>
      <c r="M63" s="39" t="s">
        <v>69</v>
      </c>
      <c r="N63" s="78" t="s">
        <v>0</v>
      </c>
      <c r="O63" s="78" t="s">
        <v>0</v>
      </c>
      <c r="P63" s="78" t="s">
        <v>0</v>
      </c>
      <c r="Q63" s="78" t="s">
        <v>0</v>
      </c>
      <c r="R63" s="78" t="s">
        <v>0</v>
      </c>
      <c r="S63" s="78"/>
      <c r="T63" s="86"/>
    </row>
    <row r="64" spans="2:20" ht="24.95" customHeight="1" x14ac:dyDescent="0.3">
      <c r="B64" s="78" t="s">
        <v>148</v>
      </c>
      <c r="C64" s="39" t="s">
        <v>70</v>
      </c>
      <c r="D64" s="80" t="s">
        <v>0</v>
      </c>
      <c r="E64" s="78" t="s">
        <v>0</v>
      </c>
      <c r="F64" s="78" t="s">
        <v>0</v>
      </c>
      <c r="G64" s="78" t="s">
        <v>0</v>
      </c>
      <c r="H64" s="78" t="s">
        <v>0</v>
      </c>
      <c r="I64" s="78"/>
      <c r="J64" s="78"/>
      <c r="K64" s="39" t="s">
        <v>0</v>
      </c>
      <c r="L64" s="39" t="s">
        <v>0</v>
      </c>
      <c r="M64" s="39" t="s">
        <v>0</v>
      </c>
      <c r="N64" s="39" t="s">
        <v>0</v>
      </c>
      <c r="O64" s="39" t="s">
        <v>0</v>
      </c>
      <c r="P64" s="78" t="s">
        <v>0</v>
      </c>
      <c r="Q64" s="78" t="s">
        <v>0</v>
      </c>
      <c r="R64" s="78" t="s">
        <v>0</v>
      </c>
      <c r="S64" s="78"/>
      <c r="T64" s="87"/>
    </row>
    <row r="65" spans="2:20" ht="24.95" customHeight="1" x14ac:dyDescent="0.3">
      <c r="B65" s="78" t="s">
        <v>150</v>
      </c>
      <c r="C65" s="88" t="s">
        <v>158</v>
      </c>
      <c r="D65" s="78" t="s">
        <v>144</v>
      </c>
      <c r="E65" s="39" t="s">
        <v>151</v>
      </c>
      <c r="F65" s="39" t="s">
        <v>69</v>
      </c>
      <c r="G65" s="78" t="s">
        <v>0</v>
      </c>
      <c r="H65" s="78" t="s">
        <v>0</v>
      </c>
      <c r="I65" s="78" t="s">
        <v>0</v>
      </c>
      <c r="J65" s="78" t="s">
        <v>0</v>
      </c>
      <c r="K65" s="39" t="s">
        <v>69</v>
      </c>
      <c r="L65" s="39" t="s">
        <v>0</v>
      </c>
      <c r="M65" s="39" t="s">
        <v>69</v>
      </c>
      <c r="N65" s="78" t="s">
        <v>55</v>
      </c>
      <c r="O65" s="78" t="s">
        <v>69</v>
      </c>
      <c r="P65" s="78" t="s">
        <v>0</v>
      </c>
      <c r="Q65" s="78" t="s">
        <v>0</v>
      </c>
      <c r="R65" s="78" t="s">
        <v>69</v>
      </c>
      <c r="S65" s="78" t="s">
        <v>69</v>
      </c>
      <c r="T65" s="85">
        <v>250000</v>
      </c>
    </row>
    <row r="66" spans="2:20" ht="24.95" customHeight="1" x14ac:dyDescent="0.3">
      <c r="B66" s="78" t="s">
        <v>150</v>
      </c>
      <c r="C66" s="78" t="s">
        <v>0</v>
      </c>
      <c r="D66" s="78" t="s">
        <v>0</v>
      </c>
      <c r="E66" s="39" t="s">
        <v>0</v>
      </c>
      <c r="F66" s="39" t="s">
        <v>69</v>
      </c>
      <c r="G66" s="39" t="s">
        <v>0</v>
      </c>
      <c r="H66" s="39" t="s">
        <v>0</v>
      </c>
      <c r="I66" s="39" t="s">
        <v>0</v>
      </c>
      <c r="J66" s="39" t="s">
        <v>0</v>
      </c>
      <c r="K66" s="39" t="s">
        <v>69</v>
      </c>
      <c r="L66" s="39" t="s">
        <v>0</v>
      </c>
      <c r="M66" s="39" t="s">
        <v>69</v>
      </c>
      <c r="N66" s="78" t="s">
        <v>0</v>
      </c>
      <c r="O66" s="78" t="s">
        <v>0</v>
      </c>
      <c r="P66" s="78" t="s">
        <v>0</v>
      </c>
      <c r="Q66" s="78" t="s">
        <v>0</v>
      </c>
      <c r="R66" s="78" t="s">
        <v>0</v>
      </c>
      <c r="S66" s="78"/>
      <c r="T66" s="86"/>
    </row>
    <row r="67" spans="2:20" ht="24.95" customHeight="1" x14ac:dyDescent="0.3">
      <c r="B67" s="78" t="s">
        <v>150</v>
      </c>
      <c r="C67" s="39" t="s">
        <v>70</v>
      </c>
      <c r="D67" s="80" t="s">
        <v>0</v>
      </c>
      <c r="E67" s="78" t="s">
        <v>0</v>
      </c>
      <c r="F67" s="78" t="s">
        <v>0</v>
      </c>
      <c r="G67" s="78" t="s">
        <v>0</v>
      </c>
      <c r="H67" s="78" t="s">
        <v>0</v>
      </c>
      <c r="I67" s="78"/>
      <c r="J67" s="78"/>
      <c r="K67" s="39" t="s">
        <v>0</v>
      </c>
      <c r="L67" s="39" t="s">
        <v>0</v>
      </c>
      <c r="M67" s="39" t="s">
        <v>0</v>
      </c>
      <c r="N67" s="39" t="s">
        <v>0</v>
      </c>
      <c r="O67" s="39" t="s">
        <v>0</v>
      </c>
      <c r="P67" s="78" t="s">
        <v>0</v>
      </c>
      <c r="Q67" s="78" t="s">
        <v>0</v>
      </c>
      <c r="R67" s="78" t="s">
        <v>0</v>
      </c>
      <c r="S67" s="78"/>
      <c r="T67" s="87"/>
    </row>
    <row r="68" spans="2:20" ht="24.95" customHeight="1" x14ac:dyDescent="0.3">
      <c r="B68" s="78" t="s">
        <v>152</v>
      </c>
      <c r="C68" s="88" t="s">
        <v>158</v>
      </c>
      <c r="D68" s="78" t="s">
        <v>144</v>
      </c>
      <c r="E68" s="39" t="s">
        <v>153</v>
      </c>
      <c r="F68" s="39" t="s">
        <v>69</v>
      </c>
      <c r="G68" s="78" t="s">
        <v>0</v>
      </c>
      <c r="H68" s="78" t="s">
        <v>0</v>
      </c>
      <c r="I68" s="78" t="s">
        <v>0</v>
      </c>
      <c r="J68" s="78" t="s">
        <v>0</v>
      </c>
      <c r="K68" s="39" t="s">
        <v>69</v>
      </c>
      <c r="L68" s="39" t="s">
        <v>0</v>
      </c>
      <c r="M68" s="39" t="s">
        <v>69</v>
      </c>
      <c r="N68" s="78" t="s">
        <v>55</v>
      </c>
      <c r="O68" s="78" t="s">
        <v>69</v>
      </c>
      <c r="P68" s="78" t="s">
        <v>0</v>
      </c>
      <c r="Q68" s="78" t="s">
        <v>0</v>
      </c>
      <c r="R68" s="78" t="s">
        <v>69</v>
      </c>
      <c r="S68" s="78" t="s">
        <v>69</v>
      </c>
      <c r="T68" s="85">
        <v>200000</v>
      </c>
    </row>
    <row r="69" spans="2:20" ht="24.95" customHeight="1" x14ac:dyDescent="0.3">
      <c r="B69" s="78" t="s">
        <v>152</v>
      </c>
      <c r="C69" s="78" t="s">
        <v>0</v>
      </c>
      <c r="D69" s="78" t="s">
        <v>0</v>
      </c>
      <c r="E69" s="39" t="s">
        <v>0</v>
      </c>
      <c r="F69" s="39" t="s">
        <v>69</v>
      </c>
      <c r="G69" s="39" t="s">
        <v>0</v>
      </c>
      <c r="H69" s="39" t="s">
        <v>0</v>
      </c>
      <c r="I69" s="39" t="s">
        <v>0</v>
      </c>
      <c r="J69" s="39" t="s">
        <v>0</v>
      </c>
      <c r="K69" s="39" t="s">
        <v>69</v>
      </c>
      <c r="L69" s="39" t="s">
        <v>0</v>
      </c>
      <c r="M69" s="39" t="s">
        <v>69</v>
      </c>
      <c r="N69" s="78" t="s">
        <v>0</v>
      </c>
      <c r="O69" s="78" t="s">
        <v>0</v>
      </c>
      <c r="P69" s="78" t="s">
        <v>0</v>
      </c>
      <c r="Q69" s="78" t="s">
        <v>0</v>
      </c>
      <c r="R69" s="78" t="s">
        <v>0</v>
      </c>
      <c r="S69" s="78"/>
      <c r="T69" s="86"/>
    </row>
    <row r="70" spans="2:20" ht="24.95" customHeight="1" x14ac:dyDescent="0.3">
      <c r="B70" s="78" t="s">
        <v>152</v>
      </c>
      <c r="C70" s="39" t="s">
        <v>70</v>
      </c>
      <c r="D70" s="80" t="s">
        <v>0</v>
      </c>
      <c r="E70" s="78" t="s">
        <v>0</v>
      </c>
      <c r="F70" s="78" t="s">
        <v>0</v>
      </c>
      <c r="G70" s="78" t="s">
        <v>0</v>
      </c>
      <c r="H70" s="78" t="s">
        <v>0</v>
      </c>
      <c r="I70" s="78"/>
      <c r="J70" s="78"/>
      <c r="K70" s="39" t="s">
        <v>0</v>
      </c>
      <c r="L70" s="39" t="s">
        <v>0</v>
      </c>
      <c r="M70" s="39" t="s">
        <v>0</v>
      </c>
      <c r="N70" s="39" t="s">
        <v>0</v>
      </c>
      <c r="O70" s="39" t="s">
        <v>0</v>
      </c>
      <c r="P70" s="78" t="s">
        <v>0</v>
      </c>
      <c r="Q70" s="78" t="s">
        <v>0</v>
      </c>
      <c r="R70" s="78" t="s">
        <v>0</v>
      </c>
      <c r="S70" s="78"/>
      <c r="T70" s="87"/>
    </row>
    <row r="71" spans="2:20" ht="24.95" customHeight="1" x14ac:dyDescent="0.3">
      <c r="B71" s="81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3"/>
      <c r="R71" s="81" t="s">
        <v>20</v>
      </c>
      <c r="S71" s="83"/>
      <c r="T71" s="40">
        <f>SUM(T14:T70)</f>
        <v>10563952.5</v>
      </c>
    </row>
    <row r="72" spans="2:20" x14ac:dyDescent="0.3">
      <c r="B72" s="30" t="s">
        <v>16</v>
      </c>
      <c r="C72" s="31"/>
      <c r="D72" s="31"/>
      <c r="E72" s="32" t="s">
        <v>0</v>
      </c>
      <c r="F72" s="33" t="s">
        <v>0</v>
      </c>
      <c r="G72" s="33" t="s">
        <v>0</v>
      </c>
      <c r="H72" s="33" t="s">
        <v>0</v>
      </c>
      <c r="I72" s="33"/>
      <c r="J72" s="33"/>
      <c r="K72" s="33" t="s">
        <v>0</v>
      </c>
      <c r="L72" s="34" t="s">
        <v>0</v>
      </c>
      <c r="M72" s="34" t="s">
        <v>0</v>
      </c>
      <c r="N72" s="34" t="s">
        <v>0</v>
      </c>
      <c r="O72" s="34" t="s">
        <v>0</v>
      </c>
      <c r="P72" s="34" t="s">
        <v>0</v>
      </c>
      <c r="Q72" s="34" t="s">
        <v>0</v>
      </c>
      <c r="R72" s="84" t="s">
        <v>35</v>
      </c>
      <c r="S72" s="84"/>
      <c r="T72" s="40">
        <f>ROUND(T71*0.1,0)</f>
        <v>1056395</v>
      </c>
    </row>
    <row r="73" spans="2:20" x14ac:dyDescent="0.3">
      <c r="B73" s="41" t="s">
        <v>0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8"/>
    </row>
    <row r="74" spans="2:20" x14ac:dyDescent="0.3">
      <c r="B74" s="17"/>
      <c r="T74" s="10"/>
    </row>
    <row r="75" spans="2:20" x14ac:dyDescent="0.3">
      <c r="B75" s="17"/>
      <c r="T75" s="10"/>
    </row>
    <row r="76" spans="2:20" x14ac:dyDescent="0.3">
      <c r="B76" s="17"/>
      <c r="T76" s="10"/>
    </row>
    <row r="77" spans="2:20" x14ac:dyDescent="0.3">
      <c r="B77" s="17"/>
      <c r="T77" s="10"/>
    </row>
    <row r="78" spans="2:20" x14ac:dyDescent="0.3">
      <c r="B78" s="42" t="s">
        <v>154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1"/>
    </row>
  </sheetData>
  <mergeCells count="284">
    <mergeCell ref="T68:T70"/>
    <mergeCell ref="D70:J70"/>
    <mergeCell ref="B71:Q71"/>
    <mergeCell ref="R71:S71"/>
    <mergeCell ref="R72:S72"/>
    <mergeCell ref="B68:B70"/>
    <mergeCell ref="C68:C69"/>
    <mergeCell ref="D68:D69"/>
    <mergeCell ref="G68:H68"/>
    <mergeCell ref="I68:J68"/>
    <mergeCell ref="N68:N69"/>
    <mergeCell ref="O68:O69"/>
    <mergeCell ref="P68:P70"/>
    <mergeCell ref="Q68:Q70"/>
    <mergeCell ref="R68:R70"/>
    <mergeCell ref="S68:S70"/>
    <mergeCell ref="R62:R64"/>
    <mergeCell ref="S62:S64"/>
    <mergeCell ref="T62:T64"/>
    <mergeCell ref="D64:J64"/>
    <mergeCell ref="B65:B67"/>
    <mergeCell ref="C65:C66"/>
    <mergeCell ref="D65:D66"/>
    <mergeCell ref="G65:H65"/>
    <mergeCell ref="I65:J65"/>
    <mergeCell ref="N65:N66"/>
    <mergeCell ref="O65:O66"/>
    <mergeCell ref="P65:P67"/>
    <mergeCell ref="Q65:Q67"/>
    <mergeCell ref="R65:R67"/>
    <mergeCell ref="S65:S67"/>
    <mergeCell ref="T65:T67"/>
    <mergeCell ref="D67:J67"/>
    <mergeCell ref="B62:B64"/>
    <mergeCell ref="C62:C63"/>
    <mergeCell ref="D62:D63"/>
    <mergeCell ref="G62:H62"/>
    <mergeCell ref="I62:J62"/>
    <mergeCell ref="N62:N63"/>
    <mergeCell ref="O62:O63"/>
    <mergeCell ref="P62:P64"/>
    <mergeCell ref="Q62:Q64"/>
    <mergeCell ref="R56:R58"/>
    <mergeCell ref="S56:S58"/>
    <mergeCell ref="T56:T58"/>
    <mergeCell ref="D58:J58"/>
    <mergeCell ref="B59:B61"/>
    <mergeCell ref="C59:C60"/>
    <mergeCell ref="D59:D60"/>
    <mergeCell ref="G59:H59"/>
    <mergeCell ref="I59:J59"/>
    <mergeCell ref="N59:N60"/>
    <mergeCell ref="O59:O60"/>
    <mergeCell ref="P59:P61"/>
    <mergeCell ref="Q59:Q61"/>
    <mergeCell ref="R59:R61"/>
    <mergeCell ref="S59:S61"/>
    <mergeCell ref="T59:T61"/>
    <mergeCell ref="D61:J61"/>
    <mergeCell ref="B56:B58"/>
    <mergeCell ref="C56:C57"/>
    <mergeCell ref="D56:D57"/>
    <mergeCell ref="G56:H56"/>
    <mergeCell ref="I56:J56"/>
    <mergeCell ref="N56:N57"/>
    <mergeCell ref="O56:O57"/>
    <mergeCell ref="P56:P58"/>
    <mergeCell ref="Q56:Q58"/>
    <mergeCell ref="R50:R52"/>
    <mergeCell ref="S50:S52"/>
    <mergeCell ref="T50:T52"/>
    <mergeCell ref="D52:J52"/>
    <mergeCell ref="B53:B55"/>
    <mergeCell ref="C53:C54"/>
    <mergeCell ref="D53:D54"/>
    <mergeCell ref="G53:H53"/>
    <mergeCell ref="I53:J53"/>
    <mergeCell ref="N53:N54"/>
    <mergeCell ref="O53:O54"/>
    <mergeCell ref="P53:P55"/>
    <mergeCell ref="Q53:Q55"/>
    <mergeCell ref="R53:R55"/>
    <mergeCell ref="S53:S55"/>
    <mergeCell ref="T53:T55"/>
    <mergeCell ref="D55:J55"/>
    <mergeCell ref="B50:B52"/>
    <mergeCell ref="C50:C51"/>
    <mergeCell ref="D50:D51"/>
    <mergeCell ref="G50:H50"/>
    <mergeCell ref="I50:J50"/>
    <mergeCell ref="N50:N51"/>
    <mergeCell ref="O50:O51"/>
    <mergeCell ref="P50:P52"/>
    <mergeCell ref="Q50:Q52"/>
    <mergeCell ref="R44:R46"/>
    <mergeCell ref="S44:S46"/>
    <mergeCell ref="T44:T46"/>
    <mergeCell ref="D46:J46"/>
    <mergeCell ref="B47:B49"/>
    <mergeCell ref="C47:C48"/>
    <mergeCell ref="D47:D48"/>
    <mergeCell ref="G47:H47"/>
    <mergeCell ref="I47:J47"/>
    <mergeCell ref="N47:N48"/>
    <mergeCell ref="O47:O48"/>
    <mergeCell ref="P47:P49"/>
    <mergeCell ref="Q47:Q49"/>
    <mergeCell ref="R47:R49"/>
    <mergeCell ref="S47:S49"/>
    <mergeCell ref="T47:T49"/>
    <mergeCell ref="D49:J49"/>
    <mergeCell ref="B44:B46"/>
    <mergeCell ref="C44:C45"/>
    <mergeCell ref="D44:D45"/>
    <mergeCell ref="G44:H44"/>
    <mergeCell ref="I44:J44"/>
    <mergeCell ref="N44:N45"/>
    <mergeCell ref="O44:O45"/>
    <mergeCell ref="P44:P46"/>
    <mergeCell ref="Q44:Q46"/>
    <mergeCell ref="R38:R40"/>
    <mergeCell ref="S38:S40"/>
    <mergeCell ref="T38:T40"/>
    <mergeCell ref="D40:J40"/>
    <mergeCell ref="B41:B43"/>
    <mergeCell ref="C41:C42"/>
    <mergeCell ref="D41:D42"/>
    <mergeCell ref="G41:H41"/>
    <mergeCell ref="I41:J41"/>
    <mergeCell ref="N41:N42"/>
    <mergeCell ref="O41:O42"/>
    <mergeCell ref="P41:P43"/>
    <mergeCell ref="Q41:Q43"/>
    <mergeCell ref="R41:R43"/>
    <mergeCell ref="S41:S43"/>
    <mergeCell ref="T41:T43"/>
    <mergeCell ref="D43:J43"/>
    <mergeCell ref="B38:B40"/>
    <mergeCell ref="C38:C39"/>
    <mergeCell ref="D38:D39"/>
    <mergeCell ref="G38:H38"/>
    <mergeCell ref="I38:J38"/>
    <mergeCell ref="N38:N39"/>
    <mergeCell ref="O38:O39"/>
    <mergeCell ref="P38:P40"/>
    <mergeCell ref="Q38:Q40"/>
    <mergeCell ref="R32:R34"/>
    <mergeCell ref="S32:S34"/>
    <mergeCell ref="T32:T34"/>
    <mergeCell ref="D34:J34"/>
    <mergeCell ref="B35:B37"/>
    <mergeCell ref="C35:C36"/>
    <mergeCell ref="D35:D36"/>
    <mergeCell ref="G35:H35"/>
    <mergeCell ref="I35:J35"/>
    <mergeCell ref="N35:N36"/>
    <mergeCell ref="O35:O36"/>
    <mergeCell ref="P35:P37"/>
    <mergeCell ref="Q35:Q37"/>
    <mergeCell ref="R35:R37"/>
    <mergeCell ref="S35:S37"/>
    <mergeCell ref="T35:T37"/>
    <mergeCell ref="D37:J37"/>
    <mergeCell ref="B32:B34"/>
    <mergeCell ref="C32:C33"/>
    <mergeCell ref="D32:D33"/>
    <mergeCell ref="G32:H32"/>
    <mergeCell ref="I32:J32"/>
    <mergeCell ref="N32:N33"/>
    <mergeCell ref="O32:O33"/>
    <mergeCell ref="P32:P34"/>
    <mergeCell ref="Q32:Q34"/>
    <mergeCell ref="R26:R28"/>
    <mergeCell ref="S26:S28"/>
    <mergeCell ref="T26:T28"/>
    <mergeCell ref="D28:J28"/>
    <mergeCell ref="B29:B31"/>
    <mergeCell ref="C29:C30"/>
    <mergeCell ref="D29:D30"/>
    <mergeCell ref="G29:H29"/>
    <mergeCell ref="I29:J29"/>
    <mergeCell ref="N29:N30"/>
    <mergeCell ref="O29:O30"/>
    <mergeCell ref="P29:P31"/>
    <mergeCell ref="Q29:Q31"/>
    <mergeCell ref="R29:R31"/>
    <mergeCell ref="S29:S31"/>
    <mergeCell ref="T29:T31"/>
    <mergeCell ref="D31:J31"/>
    <mergeCell ref="B26:B28"/>
    <mergeCell ref="C26:C27"/>
    <mergeCell ref="D26:D27"/>
    <mergeCell ref="G26:H26"/>
    <mergeCell ref="I26:J26"/>
    <mergeCell ref="N26:N27"/>
    <mergeCell ref="O26:O27"/>
    <mergeCell ref="P26:P28"/>
    <mergeCell ref="Q26:Q28"/>
    <mergeCell ref="R20:R22"/>
    <mergeCell ref="S20:S22"/>
    <mergeCell ref="T20:T22"/>
    <mergeCell ref="D22:J22"/>
    <mergeCell ref="B23:B25"/>
    <mergeCell ref="C23:C24"/>
    <mergeCell ref="D23:D24"/>
    <mergeCell ref="G23:H23"/>
    <mergeCell ref="I23:J23"/>
    <mergeCell ref="N23:N24"/>
    <mergeCell ref="O23:O24"/>
    <mergeCell ref="P23:P25"/>
    <mergeCell ref="Q23:Q25"/>
    <mergeCell ref="R23:R25"/>
    <mergeCell ref="S23:S25"/>
    <mergeCell ref="T23:T25"/>
    <mergeCell ref="D25:J25"/>
    <mergeCell ref="B20:B22"/>
    <mergeCell ref="C20:C21"/>
    <mergeCell ref="D20:D21"/>
    <mergeCell ref="G20:H20"/>
    <mergeCell ref="I20:J20"/>
    <mergeCell ref="N20:N21"/>
    <mergeCell ref="O20:O21"/>
    <mergeCell ref="P20:P22"/>
    <mergeCell ref="Q20:Q22"/>
    <mergeCell ref="R14:R16"/>
    <mergeCell ref="S14:S16"/>
    <mergeCell ref="T14:T16"/>
    <mergeCell ref="D16:J16"/>
    <mergeCell ref="B17:B19"/>
    <mergeCell ref="C17:C18"/>
    <mergeCell ref="D17:D18"/>
    <mergeCell ref="G17:H17"/>
    <mergeCell ref="I17:J17"/>
    <mergeCell ref="N17:N18"/>
    <mergeCell ref="O17:O18"/>
    <mergeCell ref="P17:P19"/>
    <mergeCell ref="Q17:Q19"/>
    <mergeCell ref="R17:R19"/>
    <mergeCell ref="S17:S19"/>
    <mergeCell ref="T17:T19"/>
    <mergeCell ref="D19:J19"/>
    <mergeCell ref="B14:B16"/>
    <mergeCell ref="C14:C15"/>
    <mergeCell ref="D14:D15"/>
    <mergeCell ref="G14:H14"/>
    <mergeCell ref="I14:J14"/>
    <mergeCell ref="N14:N15"/>
    <mergeCell ref="O14:O15"/>
    <mergeCell ref="P14:P16"/>
    <mergeCell ref="Q14:Q16"/>
    <mergeCell ref="B1:M4"/>
    <mergeCell ref="B5:C5"/>
    <mergeCell ref="B6:C6"/>
    <mergeCell ref="D6:F6"/>
    <mergeCell ref="H6:K6"/>
    <mergeCell ref="H9:K9"/>
    <mergeCell ref="D7:K7"/>
    <mergeCell ref="D8:K8"/>
    <mergeCell ref="B11:C11"/>
    <mergeCell ref="N6:Q6"/>
    <mergeCell ref="R6:T6"/>
    <mergeCell ref="N7:Q7"/>
    <mergeCell ref="R7:T7"/>
    <mergeCell ref="N8:Q8"/>
    <mergeCell ref="E12:E13"/>
    <mergeCell ref="B9:C9"/>
    <mergeCell ref="B7:C7"/>
    <mergeCell ref="B8:C8"/>
    <mergeCell ref="D9:F9"/>
    <mergeCell ref="B12:B13"/>
    <mergeCell ref="C12:C13"/>
    <mergeCell ref="D12:D13"/>
    <mergeCell ref="F12:F13"/>
    <mergeCell ref="G12:H12"/>
    <mergeCell ref="I12:J12"/>
    <mergeCell ref="N9:Q9"/>
    <mergeCell ref="R8:T8"/>
    <mergeCell ref="R9:T9"/>
    <mergeCell ref="T12:T13"/>
    <mergeCell ref="R12:R13"/>
    <mergeCell ref="S12:S13"/>
    <mergeCell ref="N12:N13"/>
    <mergeCell ref="P12:P13"/>
    <mergeCell ref="Q12:Q13"/>
  </mergeCells>
  <phoneticPr fontId="2" type="noConversion"/>
  <pageMargins left="0.25" right="0.25" top="0.75" bottom="0.75" header="0.3" footer="0.3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4ABB-A368-4491-B3DC-248864314A88}">
  <sheetPr>
    <pageSetUpPr fitToPage="1"/>
  </sheetPr>
  <dimension ref="B1:V78"/>
  <sheetViews>
    <sheetView zoomScaleNormal="100" zoomScaleSheetLayoutView="85" workbookViewId="0">
      <selection activeCell="M10" sqref="M10"/>
    </sheetView>
  </sheetViews>
  <sheetFormatPr defaultColWidth="8.875" defaultRowHeight="16.5" x14ac:dyDescent="0.3"/>
  <cols>
    <col min="1" max="1" width="8.875" style="9"/>
    <col min="2" max="2" width="5.375" style="9" customWidth="1"/>
    <col min="3" max="4" width="11.375" style="9" customWidth="1"/>
    <col min="5" max="5" width="14.125" style="9" customWidth="1"/>
    <col min="6" max="6" width="10.125" style="9" customWidth="1"/>
    <col min="7" max="10" width="8.125" style="9" customWidth="1"/>
    <col min="11" max="11" width="8.625" style="9" bestFit="1" customWidth="1"/>
    <col min="12" max="12" width="12.625" style="9" customWidth="1"/>
    <col min="13" max="13" width="15.625" style="9" customWidth="1"/>
    <col min="14" max="14" width="4.625" style="9" bestFit="1" customWidth="1"/>
    <col min="15" max="15" width="10.875" style="9" customWidth="1"/>
    <col min="16" max="17" width="6.25" style="9" customWidth="1"/>
    <col min="18" max="19" width="5.25" style="9" customWidth="1"/>
    <col min="20" max="20" width="12.125" style="9" customWidth="1"/>
    <col min="21" max="16384" width="8.875" style="9"/>
  </cols>
  <sheetData>
    <row r="1" spans="2:22" ht="17.45" customHeight="1" x14ac:dyDescent="0.3">
      <c r="B1" s="58" t="s">
        <v>17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  <c r="N1" s="4"/>
      <c r="O1" s="1"/>
      <c r="P1" s="1"/>
      <c r="Q1" s="1"/>
      <c r="R1" s="1"/>
      <c r="S1" s="1"/>
      <c r="T1" s="8"/>
      <c r="V1" s="9">
        <v>1</v>
      </c>
    </row>
    <row r="2" spans="2:22" ht="17.45" customHeight="1" x14ac:dyDescent="0.3">
      <c r="B2" s="61"/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  <c r="N2" s="5"/>
      <c r="O2" s="2"/>
      <c r="P2" s="2"/>
      <c r="Q2" s="2"/>
      <c r="R2" s="2"/>
      <c r="S2" s="2"/>
      <c r="T2" s="10"/>
    </row>
    <row r="3" spans="2:22" ht="17.45" customHeight="1" x14ac:dyDescent="0.3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3"/>
      <c r="N3" s="5"/>
      <c r="O3" s="2"/>
      <c r="P3" s="2"/>
      <c r="Q3" s="2"/>
      <c r="R3" s="2"/>
      <c r="S3" s="2"/>
      <c r="T3" s="10"/>
    </row>
    <row r="4" spans="2:22" ht="17.45" customHeight="1" x14ac:dyDescent="0.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  <c r="N4" s="6"/>
      <c r="O4" s="3"/>
      <c r="P4" s="3"/>
      <c r="Q4" s="3"/>
      <c r="R4" s="3"/>
      <c r="S4" s="3"/>
      <c r="T4" s="11"/>
    </row>
    <row r="5" spans="2:22" x14ac:dyDescent="0.3">
      <c r="B5" s="67" t="s">
        <v>21</v>
      </c>
      <c r="C5" s="68"/>
      <c r="D5" s="19" t="s">
        <v>0</v>
      </c>
      <c r="E5" s="20"/>
      <c r="F5" s="20"/>
      <c r="G5" s="20"/>
      <c r="H5" s="20"/>
      <c r="I5" s="20"/>
      <c r="J5" s="20"/>
      <c r="K5" s="19" t="s">
        <v>0</v>
      </c>
      <c r="L5" s="19" t="s">
        <v>0</v>
      </c>
      <c r="M5" s="19" t="s">
        <v>0</v>
      </c>
      <c r="N5" s="19" t="s">
        <v>0</v>
      </c>
      <c r="O5" s="12"/>
      <c r="P5" s="12"/>
      <c r="Q5" s="12"/>
      <c r="R5" s="12"/>
      <c r="S5" s="12"/>
      <c r="T5" s="13"/>
    </row>
    <row r="6" spans="2:22" ht="17.45" customHeight="1" x14ac:dyDescent="0.3">
      <c r="B6" s="54" t="s">
        <v>1</v>
      </c>
      <c r="C6" s="54"/>
      <c r="D6" s="57" t="s">
        <v>47</v>
      </c>
      <c r="E6" s="57"/>
      <c r="F6" s="69"/>
      <c r="G6" s="21" t="s">
        <v>46</v>
      </c>
      <c r="H6" s="70" t="s">
        <v>48</v>
      </c>
      <c r="I6" s="71"/>
      <c r="J6" s="71"/>
      <c r="K6" s="72"/>
      <c r="L6" s="22" t="s">
        <v>18</v>
      </c>
      <c r="M6" s="23" t="s">
        <v>19</v>
      </c>
      <c r="N6" s="44" t="s">
        <v>22</v>
      </c>
      <c r="O6" s="46"/>
      <c r="P6" s="46"/>
      <c r="Q6" s="46"/>
      <c r="R6" s="47" t="s">
        <v>0</v>
      </c>
      <c r="S6" s="47"/>
      <c r="T6" s="47"/>
    </row>
    <row r="7" spans="2:22" ht="17.45" customHeight="1" x14ac:dyDescent="0.3">
      <c r="B7" s="54" t="s">
        <v>23</v>
      </c>
      <c r="C7" s="54"/>
      <c r="D7" s="73" t="s">
        <v>155</v>
      </c>
      <c r="E7" s="57"/>
      <c r="F7" s="57"/>
      <c r="G7" s="57"/>
      <c r="H7" s="57"/>
      <c r="I7" s="57"/>
      <c r="J7" s="57"/>
      <c r="K7" s="74"/>
      <c r="L7" s="22" t="s">
        <v>26</v>
      </c>
      <c r="M7" s="23" t="s">
        <v>49</v>
      </c>
      <c r="N7" s="44" t="s">
        <v>29</v>
      </c>
      <c r="O7" s="46"/>
      <c r="P7" s="46"/>
      <c r="Q7" s="46"/>
      <c r="R7" s="47" t="s">
        <v>50</v>
      </c>
      <c r="S7" s="47"/>
      <c r="T7" s="47"/>
    </row>
    <row r="8" spans="2:22" ht="34.5" customHeight="1" x14ac:dyDescent="0.3">
      <c r="B8" s="54" t="s">
        <v>24</v>
      </c>
      <c r="C8" s="54"/>
      <c r="D8" s="73" t="s">
        <v>156</v>
      </c>
      <c r="E8" s="57"/>
      <c r="F8" s="57"/>
      <c r="G8" s="57"/>
      <c r="H8" s="57"/>
      <c r="I8" s="57"/>
      <c r="J8" s="57"/>
      <c r="K8" s="74"/>
      <c r="L8" s="22" t="s">
        <v>27</v>
      </c>
      <c r="M8" s="23" t="s">
        <v>51</v>
      </c>
      <c r="N8" s="44" t="s">
        <v>30</v>
      </c>
      <c r="O8" s="46"/>
      <c r="P8" s="46"/>
      <c r="Q8" s="46"/>
      <c r="R8" s="47" t="s">
        <v>52</v>
      </c>
      <c r="S8" s="47"/>
      <c r="T8" s="47"/>
    </row>
    <row r="9" spans="2:22" ht="16.5" customHeight="1" x14ac:dyDescent="0.3">
      <c r="B9" s="54" t="s">
        <v>25</v>
      </c>
      <c r="C9" s="54"/>
      <c r="D9" s="56">
        <f>T71+T72</f>
        <v>8992665</v>
      </c>
      <c r="E9" s="57"/>
      <c r="F9" s="57"/>
      <c r="G9" s="22" t="s">
        <v>33</v>
      </c>
      <c r="H9" s="73" t="s">
        <v>53</v>
      </c>
      <c r="I9" s="57"/>
      <c r="J9" s="57"/>
      <c r="K9" s="74"/>
      <c r="L9" s="22" t="s">
        <v>28</v>
      </c>
      <c r="M9" s="23" t="s">
        <v>157</v>
      </c>
      <c r="N9" s="44" t="s">
        <v>31</v>
      </c>
      <c r="O9" s="46"/>
      <c r="P9" s="46"/>
      <c r="Q9" s="46"/>
      <c r="R9" s="47" t="s">
        <v>54</v>
      </c>
      <c r="S9" s="47"/>
      <c r="T9" s="47"/>
      <c r="V9" s="7"/>
    </row>
    <row r="10" spans="2:22" x14ac:dyDescent="0.3"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2:22" x14ac:dyDescent="0.3">
      <c r="B11" s="75" t="s">
        <v>2</v>
      </c>
      <c r="C11" s="76"/>
      <c r="D11" s="24" t="s">
        <v>0</v>
      </c>
      <c r="E11" s="24" t="s">
        <v>0</v>
      </c>
      <c r="F11" s="25" t="s">
        <v>0</v>
      </c>
      <c r="G11" s="34" t="s">
        <v>0</v>
      </c>
      <c r="H11" s="34" t="s">
        <v>0</v>
      </c>
      <c r="I11" s="34"/>
      <c r="J11" s="34"/>
      <c r="K11" s="25" t="s">
        <v>0</v>
      </c>
      <c r="L11" s="25" t="s">
        <v>0</v>
      </c>
      <c r="M11" s="25" t="s">
        <v>0</v>
      </c>
      <c r="N11" s="25" t="s">
        <v>0</v>
      </c>
      <c r="O11" s="34" t="s">
        <v>0</v>
      </c>
      <c r="P11" s="34" t="s">
        <v>0</v>
      </c>
      <c r="Q11" s="34" t="s">
        <v>0</v>
      </c>
      <c r="R11" s="25" t="s">
        <v>0</v>
      </c>
      <c r="S11" s="25" t="s">
        <v>0</v>
      </c>
      <c r="T11" s="15"/>
    </row>
    <row r="12" spans="2:22" ht="21.6" customHeight="1" x14ac:dyDescent="0.3">
      <c r="B12" s="48" t="s">
        <v>3</v>
      </c>
      <c r="C12" s="48" t="s">
        <v>4</v>
      </c>
      <c r="D12" s="48" t="s">
        <v>34</v>
      </c>
      <c r="E12" s="48" t="s">
        <v>5</v>
      </c>
      <c r="F12" s="53" t="s">
        <v>6</v>
      </c>
      <c r="G12" s="44" t="s">
        <v>7</v>
      </c>
      <c r="H12" s="45"/>
      <c r="I12" s="44" t="s">
        <v>44</v>
      </c>
      <c r="J12" s="45"/>
      <c r="K12" s="37" t="s">
        <v>8</v>
      </c>
      <c r="L12" s="26" t="s">
        <v>36</v>
      </c>
      <c r="M12" s="27" t="s">
        <v>14</v>
      </c>
      <c r="N12" s="53" t="s">
        <v>9</v>
      </c>
      <c r="O12" s="35" t="s">
        <v>13</v>
      </c>
      <c r="P12" s="54" t="s">
        <v>39</v>
      </c>
      <c r="Q12" s="54" t="s">
        <v>40</v>
      </c>
      <c r="R12" s="50" t="s">
        <v>10</v>
      </c>
      <c r="S12" s="48" t="s">
        <v>11</v>
      </c>
      <c r="T12" s="48" t="s">
        <v>32</v>
      </c>
    </row>
    <row r="13" spans="2:22" ht="21.6" customHeight="1" x14ac:dyDescent="0.3">
      <c r="B13" s="55"/>
      <c r="C13" s="55"/>
      <c r="D13" s="55"/>
      <c r="E13" s="55"/>
      <c r="F13" s="77"/>
      <c r="G13" s="22" t="s">
        <v>45</v>
      </c>
      <c r="H13" s="22" t="s">
        <v>41</v>
      </c>
      <c r="I13" s="22" t="s">
        <v>42</v>
      </c>
      <c r="J13" s="22" t="s">
        <v>43</v>
      </c>
      <c r="K13" s="38" t="s">
        <v>12</v>
      </c>
      <c r="L13" s="28" t="s">
        <v>37</v>
      </c>
      <c r="M13" s="29" t="s">
        <v>15</v>
      </c>
      <c r="N13" s="52"/>
      <c r="O13" s="36" t="s">
        <v>38</v>
      </c>
      <c r="P13" s="54"/>
      <c r="Q13" s="54"/>
      <c r="R13" s="51"/>
      <c r="S13" s="52"/>
      <c r="T13" s="49"/>
    </row>
    <row r="14" spans="2:22" ht="24.95" customHeight="1" x14ac:dyDescent="0.3">
      <c r="B14" s="78" t="s">
        <v>55</v>
      </c>
      <c r="C14" s="78" t="s">
        <v>56</v>
      </c>
      <c r="D14" s="78" t="s">
        <v>57</v>
      </c>
      <c r="E14" s="39" t="s">
        <v>58</v>
      </c>
      <c r="F14" s="39" t="s">
        <v>59</v>
      </c>
      <c r="G14" s="78" t="s">
        <v>60</v>
      </c>
      <c r="H14" s="78" t="s">
        <v>0</v>
      </c>
      <c r="I14" s="78" t="s">
        <v>61</v>
      </c>
      <c r="J14" s="78" t="s">
        <v>0</v>
      </c>
      <c r="K14" s="39" t="s">
        <v>62</v>
      </c>
      <c r="L14" s="39" t="s">
        <v>63</v>
      </c>
      <c r="M14" s="39" t="s">
        <v>64</v>
      </c>
      <c r="N14" s="78" t="s">
        <v>55</v>
      </c>
      <c r="O14" s="78" t="s">
        <v>65</v>
      </c>
      <c r="P14" s="78" t="s">
        <v>66</v>
      </c>
      <c r="Q14" s="78" t="s">
        <v>66</v>
      </c>
      <c r="R14" s="78" t="s">
        <v>67</v>
      </c>
      <c r="S14" s="78" t="s">
        <v>53</v>
      </c>
      <c r="T14" s="79">
        <f>1355909*V1</f>
        <v>1355909</v>
      </c>
    </row>
    <row r="15" spans="2:22" ht="24.95" customHeight="1" x14ac:dyDescent="0.3">
      <c r="B15" s="78" t="s">
        <v>55</v>
      </c>
      <c r="C15" s="78" t="s">
        <v>0</v>
      </c>
      <c r="D15" s="78" t="s">
        <v>0</v>
      </c>
      <c r="E15" s="39" t="s">
        <v>0</v>
      </c>
      <c r="F15" s="39" t="s">
        <v>68</v>
      </c>
      <c r="G15" s="39" t="s">
        <v>0</v>
      </c>
      <c r="H15" s="39" t="s">
        <v>0</v>
      </c>
      <c r="I15" s="39" t="s">
        <v>0</v>
      </c>
      <c r="J15" s="39" t="s">
        <v>0</v>
      </c>
      <c r="K15" s="39" t="s">
        <v>62</v>
      </c>
      <c r="L15" s="39" t="s">
        <v>0</v>
      </c>
      <c r="M15" s="39" t="s">
        <v>69</v>
      </c>
      <c r="N15" s="78" t="s">
        <v>0</v>
      </c>
      <c r="O15" s="78" t="s">
        <v>0</v>
      </c>
      <c r="P15" s="78" t="s">
        <v>0</v>
      </c>
      <c r="Q15" s="78" t="s">
        <v>0</v>
      </c>
      <c r="R15" s="78" t="s">
        <v>0</v>
      </c>
      <c r="S15" s="78"/>
      <c r="T15" s="78"/>
    </row>
    <row r="16" spans="2:22" ht="24.95" customHeight="1" x14ac:dyDescent="0.3">
      <c r="B16" s="78" t="s">
        <v>55</v>
      </c>
      <c r="C16" s="39" t="s">
        <v>70</v>
      </c>
      <c r="D16" s="80" t="s">
        <v>0</v>
      </c>
      <c r="E16" s="78" t="s">
        <v>0</v>
      </c>
      <c r="F16" s="78" t="s">
        <v>0</v>
      </c>
      <c r="G16" s="78" t="s">
        <v>0</v>
      </c>
      <c r="H16" s="78" t="s">
        <v>0</v>
      </c>
      <c r="I16" s="78"/>
      <c r="J16" s="78"/>
      <c r="K16" s="43" t="s">
        <v>71</v>
      </c>
      <c r="L16" s="39" t="s">
        <v>72</v>
      </c>
      <c r="M16" s="39" t="s">
        <v>73</v>
      </c>
      <c r="N16" s="39" t="s">
        <v>0</v>
      </c>
      <c r="O16" s="39" t="s">
        <v>0</v>
      </c>
      <c r="P16" s="78" t="s">
        <v>0</v>
      </c>
      <c r="Q16" s="78" t="s">
        <v>0</v>
      </c>
      <c r="R16" s="78" t="s">
        <v>0</v>
      </c>
      <c r="S16" s="78"/>
      <c r="T16" s="78"/>
    </row>
    <row r="17" spans="2:20" ht="24.95" customHeight="1" x14ac:dyDescent="0.3">
      <c r="B17" s="78" t="s">
        <v>74</v>
      </c>
      <c r="C17" s="78" t="s">
        <v>75</v>
      </c>
      <c r="D17" s="78" t="s">
        <v>57</v>
      </c>
      <c r="E17" s="39" t="s">
        <v>58</v>
      </c>
      <c r="F17" s="39" t="s">
        <v>76</v>
      </c>
      <c r="G17" s="78" t="s">
        <v>77</v>
      </c>
      <c r="H17" s="78" t="s">
        <v>0</v>
      </c>
      <c r="I17" s="78" t="s">
        <v>61</v>
      </c>
      <c r="J17" s="78" t="s">
        <v>0</v>
      </c>
      <c r="K17" s="39" t="s">
        <v>62</v>
      </c>
      <c r="L17" s="39" t="s">
        <v>63</v>
      </c>
      <c r="M17" s="39" t="s">
        <v>64</v>
      </c>
      <c r="N17" s="78" t="s">
        <v>55</v>
      </c>
      <c r="O17" s="78" t="s">
        <v>65</v>
      </c>
      <c r="P17" s="78" t="s">
        <v>66</v>
      </c>
      <c r="Q17" s="78" t="s">
        <v>66</v>
      </c>
      <c r="R17" s="78" t="s">
        <v>67</v>
      </c>
      <c r="S17" s="78" t="s">
        <v>53</v>
      </c>
      <c r="T17" s="79">
        <f>1176317*V1</f>
        <v>1176317</v>
      </c>
    </row>
    <row r="18" spans="2:20" ht="24.95" customHeight="1" x14ac:dyDescent="0.3">
      <c r="B18" s="78" t="s">
        <v>74</v>
      </c>
      <c r="C18" s="78" t="s">
        <v>0</v>
      </c>
      <c r="D18" s="78" t="s">
        <v>0</v>
      </c>
      <c r="E18" s="39" t="s">
        <v>0</v>
      </c>
      <c r="F18" s="39" t="s">
        <v>78</v>
      </c>
      <c r="G18" s="39" t="s">
        <v>0</v>
      </c>
      <c r="H18" s="39" t="s">
        <v>0</v>
      </c>
      <c r="I18" s="39" t="s">
        <v>0</v>
      </c>
      <c r="J18" s="39" t="s">
        <v>0</v>
      </c>
      <c r="K18" s="39" t="s">
        <v>62</v>
      </c>
      <c r="L18" s="39" t="s">
        <v>0</v>
      </c>
      <c r="M18" s="39" t="s">
        <v>69</v>
      </c>
      <c r="N18" s="78" t="s">
        <v>0</v>
      </c>
      <c r="O18" s="78" t="s">
        <v>0</v>
      </c>
      <c r="P18" s="78" t="s">
        <v>0</v>
      </c>
      <c r="Q18" s="78" t="s">
        <v>0</v>
      </c>
      <c r="R18" s="78" t="s">
        <v>0</v>
      </c>
      <c r="S18" s="78"/>
      <c r="T18" s="78"/>
    </row>
    <row r="19" spans="2:20" ht="24.95" customHeight="1" x14ac:dyDescent="0.3">
      <c r="B19" s="78" t="s">
        <v>74</v>
      </c>
      <c r="C19" s="39" t="s">
        <v>70</v>
      </c>
      <c r="D19" s="80" t="s">
        <v>0</v>
      </c>
      <c r="E19" s="78" t="s">
        <v>0</v>
      </c>
      <c r="F19" s="78" t="s">
        <v>0</v>
      </c>
      <c r="G19" s="78" t="s">
        <v>0</v>
      </c>
      <c r="H19" s="78" t="s">
        <v>0</v>
      </c>
      <c r="I19" s="78"/>
      <c r="J19" s="78"/>
      <c r="K19" s="43" t="s">
        <v>71</v>
      </c>
      <c r="L19" s="39" t="s">
        <v>72</v>
      </c>
      <c r="M19" s="39" t="s">
        <v>73</v>
      </c>
      <c r="N19" s="39" t="s">
        <v>0</v>
      </c>
      <c r="O19" s="39" t="s">
        <v>0</v>
      </c>
      <c r="P19" s="78" t="s">
        <v>0</v>
      </c>
      <c r="Q19" s="78" t="s">
        <v>0</v>
      </c>
      <c r="R19" s="78" t="s">
        <v>0</v>
      </c>
      <c r="S19" s="78"/>
      <c r="T19" s="78"/>
    </row>
    <row r="20" spans="2:20" ht="24.95" customHeight="1" x14ac:dyDescent="0.3">
      <c r="B20" s="78" t="s">
        <v>79</v>
      </c>
      <c r="C20" s="78" t="s">
        <v>80</v>
      </c>
      <c r="D20" s="78" t="s">
        <v>81</v>
      </c>
      <c r="E20" s="39" t="s">
        <v>82</v>
      </c>
      <c r="F20" s="39" t="s">
        <v>83</v>
      </c>
      <c r="G20" s="78" t="s">
        <v>84</v>
      </c>
      <c r="H20" s="78" t="s">
        <v>0</v>
      </c>
      <c r="I20" s="78" t="s">
        <v>85</v>
      </c>
      <c r="J20" s="78" t="s">
        <v>0</v>
      </c>
      <c r="K20" s="39" t="s">
        <v>62</v>
      </c>
      <c r="L20" s="39" t="s">
        <v>86</v>
      </c>
      <c r="M20" s="39" t="s">
        <v>87</v>
      </c>
      <c r="N20" s="78" t="s">
        <v>55</v>
      </c>
      <c r="O20" s="78" t="s">
        <v>88</v>
      </c>
      <c r="P20" s="78" t="s">
        <v>66</v>
      </c>
      <c r="Q20" s="78" t="s">
        <v>66</v>
      </c>
      <c r="R20" s="78" t="s">
        <v>66</v>
      </c>
      <c r="S20" s="78" t="s">
        <v>53</v>
      </c>
      <c r="T20" s="79">
        <f>1037042*V1</f>
        <v>1037042</v>
      </c>
    </row>
    <row r="21" spans="2:20" ht="24.95" customHeight="1" x14ac:dyDescent="0.3">
      <c r="B21" s="78" t="s">
        <v>79</v>
      </c>
      <c r="C21" s="78" t="s">
        <v>0</v>
      </c>
      <c r="D21" s="78" t="s">
        <v>0</v>
      </c>
      <c r="E21" s="39" t="s">
        <v>0</v>
      </c>
      <c r="F21" s="39" t="s">
        <v>78</v>
      </c>
      <c r="G21" s="39" t="s">
        <v>89</v>
      </c>
      <c r="H21" s="39" t="s">
        <v>0</v>
      </c>
      <c r="I21" s="39" t="s">
        <v>0</v>
      </c>
      <c r="J21" s="39" t="s">
        <v>0</v>
      </c>
      <c r="K21" s="39" t="s">
        <v>62</v>
      </c>
      <c r="L21" s="39" t="s">
        <v>0</v>
      </c>
      <c r="M21" s="39" t="s">
        <v>69</v>
      </c>
      <c r="N21" s="78" t="s">
        <v>0</v>
      </c>
      <c r="O21" s="78" t="s">
        <v>0</v>
      </c>
      <c r="P21" s="78" t="s">
        <v>0</v>
      </c>
      <c r="Q21" s="78" t="s">
        <v>0</v>
      </c>
      <c r="R21" s="78" t="s">
        <v>0</v>
      </c>
      <c r="S21" s="78"/>
      <c r="T21" s="78"/>
    </row>
    <row r="22" spans="2:20" ht="24.95" customHeight="1" x14ac:dyDescent="0.3">
      <c r="B22" s="78" t="s">
        <v>79</v>
      </c>
      <c r="C22" s="39" t="s">
        <v>70</v>
      </c>
      <c r="D22" s="80" t="s">
        <v>0</v>
      </c>
      <c r="E22" s="78" t="s">
        <v>0</v>
      </c>
      <c r="F22" s="78" t="s">
        <v>0</v>
      </c>
      <c r="G22" s="78" t="s">
        <v>0</v>
      </c>
      <c r="H22" s="78" t="s">
        <v>0</v>
      </c>
      <c r="I22" s="78"/>
      <c r="J22" s="78"/>
      <c r="K22" s="43" t="s">
        <v>71</v>
      </c>
      <c r="L22" s="39" t="s">
        <v>72</v>
      </c>
      <c r="M22" s="39" t="s">
        <v>73</v>
      </c>
      <c r="N22" s="39" t="s">
        <v>0</v>
      </c>
      <c r="O22" s="39" t="s">
        <v>0</v>
      </c>
      <c r="P22" s="78" t="s">
        <v>0</v>
      </c>
      <c r="Q22" s="78" t="s">
        <v>0</v>
      </c>
      <c r="R22" s="78" t="s">
        <v>0</v>
      </c>
      <c r="S22" s="78"/>
      <c r="T22" s="78"/>
    </row>
    <row r="23" spans="2:20" ht="24.95" customHeight="1" x14ac:dyDescent="0.3">
      <c r="B23" s="78" t="s">
        <v>90</v>
      </c>
      <c r="C23" s="78" t="s">
        <v>91</v>
      </c>
      <c r="D23" s="78" t="s">
        <v>81</v>
      </c>
      <c r="E23" s="39" t="s">
        <v>82</v>
      </c>
      <c r="F23" s="39" t="s">
        <v>59</v>
      </c>
      <c r="G23" s="78" t="s">
        <v>92</v>
      </c>
      <c r="H23" s="78" t="s">
        <v>0</v>
      </c>
      <c r="I23" s="78" t="s">
        <v>93</v>
      </c>
      <c r="J23" s="78" t="s">
        <v>0</v>
      </c>
      <c r="K23" s="39" t="s">
        <v>62</v>
      </c>
      <c r="L23" s="39" t="s">
        <v>86</v>
      </c>
      <c r="M23" s="39" t="s">
        <v>87</v>
      </c>
      <c r="N23" s="78" t="s">
        <v>55</v>
      </c>
      <c r="O23" s="78" t="s">
        <v>65</v>
      </c>
      <c r="P23" s="78" t="s">
        <v>66</v>
      </c>
      <c r="Q23" s="78" t="s">
        <v>66</v>
      </c>
      <c r="R23" s="78" t="s">
        <v>66</v>
      </c>
      <c r="S23" s="78" t="s">
        <v>53</v>
      </c>
      <c r="T23" s="79">
        <f>704879*V1</f>
        <v>704879</v>
      </c>
    </row>
    <row r="24" spans="2:20" ht="24.95" customHeight="1" x14ac:dyDescent="0.3">
      <c r="B24" s="78" t="s">
        <v>90</v>
      </c>
      <c r="C24" s="78" t="s">
        <v>0</v>
      </c>
      <c r="D24" s="78" t="s">
        <v>0</v>
      </c>
      <c r="E24" s="39" t="s">
        <v>0</v>
      </c>
      <c r="F24" s="39" t="s">
        <v>68</v>
      </c>
      <c r="G24" s="39" t="s">
        <v>0</v>
      </c>
      <c r="H24" s="39" t="s">
        <v>0</v>
      </c>
      <c r="I24" s="39" t="s">
        <v>0</v>
      </c>
      <c r="J24" s="39" t="s">
        <v>0</v>
      </c>
      <c r="K24" s="39" t="s">
        <v>62</v>
      </c>
      <c r="L24" s="39" t="s">
        <v>0</v>
      </c>
      <c r="M24" s="39" t="s">
        <v>69</v>
      </c>
      <c r="N24" s="78" t="s">
        <v>0</v>
      </c>
      <c r="O24" s="78" t="s">
        <v>0</v>
      </c>
      <c r="P24" s="78" t="s">
        <v>0</v>
      </c>
      <c r="Q24" s="78" t="s">
        <v>0</v>
      </c>
      <c r="R24" s="78" t="s">
        <v>0</v>
      </c>
      <c r="S24" s="78"/>
      <c r="T24" s="78"/>
    </row>
    <row r="25" spans="2:20" ht="24.95" customHeight="1" x14ac:dyDescent="0.3">
      <c r="B25" s="78" t="s">
        <v>90</v>
      </c>
      <c r="C25" s="39" t="s">
        <v>70</v>
      </c>
      <c r="D25" s="80" t="s">
        <v>0</v>
      </c>
      <c r="E25" s="78" t="s">
        <v>0</v>
      </c>
      <c r="F25" s="78" t="s">
        <v>0</v>
      </c>
      <c r="G25" s="78" t="s">
        <v>0</v>
      </c>
      <c r="H25" s="78" t="s">
        <v>0</v>
      </c>
      <c r="I25" s="78"/>
      <c r="J25" s="78"/>
      <c r="K25" s="43" t="s">
        <v>71</v>
      </c>
      <c r="L25" s="39" t="s">
        <v>72</v>
      </c>
      <c r="M25" s="39" t="s">
        <v>73</v>
      </c>
      <c r="N25" s="39" t="s">
        <v>0</v>
      </c>
      <c r="O25" s="39" t="s">
        <v>0</v>
      </c>
      <c r="P25" s="78" t="s">
        <v>0</v>
      </c>
      <c r="Q25" s="78" t="s">
        <v>0</v>
      </c>
      <c r="R25" s="78" t="s">
        <v>0</v>
      </c>
      <c r="S25" s="78"/>
      <c r="T25" s="78"/>
    </row>
    <row r="26" spans="2:20" ht="24.95" customHeight="1" x14ac:dyDescent="0.3">
      <c r="B26" s="78" t="s">
        <v>94</v>
      </c>
      <c r="C26" s="78" t="s">
        <v>95</v>
      </c>
      <c r="D26" s="78" t="s">
        <v>57</v>
      </c>
      <c r="E26" s="39" t="s">
        <v>58</v>
      </c>
      <c r="F26" s="39" t="s">
        <v>96</v>
      </c>
      <c r="G26" s="78" t="s">
        <v>97</v>
      </c>
      <c r="H26" s="78" t="s">
        <v>0</v>
      </c>
      <c r="I26" s="78" t="s">
        <v>98</v>
      </c>
      <c r="J26" s="78" t="s">
        <v>0</v>
      </c>
      <c r="K26" s="39" t="s">
        <v>62</v>
      </c>
      <c r="L26" s="39" t="s">
        <v>63</v>
      </c>
      <c r="M26" s="39" t="s">
        <v>64</v>
      </c>
      <c r="N26" s="78" t="s">
        <v>55</v>
      </c>
      <c r="O26" s="78" t="s">
        <v>99</v>
      </c>
      <c r="P26" s="78" t="s">
        <v>66</v>
      </c>
      <c r="Q26" s="78" t="s">
        <v>66</v>
      </c>
      <c r="R26" s="78" t="s">
        <v>67</v>
      </c>
      <c r="S26" s="78" t="s">
        <v>53</v>
      </c>
      <c r="T26" s="79">
        <f>486828*V1</f>
        <v>486828</v>
      </c>
    </row>
    <row r="27" spans="2:20" ht="24.95" customHeight="1" x14ac:dyDescent="0.3">
      <c r="B27" s="78" t="s">
        <v>94</v>
      </c>
      <c r="C27" s="78" t="s">
        <v>0</v>
      </c>
      <c r="D27" s="78" t="s">
        <v>0</v>
      </c>
      <c r="E27" s="39" t="s">
        <v>0</v>
      </c>
      <c r="F27" s="39" t="s">
        <v>78</v>
      </c>
      <c r="G27" s="39" t="s">
        <v>0</v>
      </c>
      <c r="H27" s="39" t="s">
        <v>0</v>
      </c>
      <c r="I27" s="39" t="s">
        <v>0</v>
      </c>
      <c r="J27" s="39" t="s">
        <v>0</v>
      </c>
      <c r="K27" s="39" t="s">
        <v>62</v>
      </c>
      <c r="L27" s="39" t="s">
        <v>0</v>
      </c>
      <c r="M27" s="39" t="s">
        <v>69</v>
      </c>
      <c r="N27" s="78" t="s">
        <v>0</v>
      </c>
      <c r="O27" s="78" t="s">
        <v>0</v>
      </c>
      <c r="P27" s="78" t="s">
        <v>0</v>
      </c>
      <c r="Q27" s="78" t="s">
        <v>0</v>
      </c>
      <c r="R27" s="78" t="s">
        <v>0</v>
      </c>
      <c r="S27" s="78"/>
      <c r="T27" s="78"/>
    </row>
    <row r="28" spans="2:20" ht="24.95" customHeight="1" x14ac:dyDescent="0.3">
      <c r="B28" s="78" t="s">
        <v>94</v>
      </c>
      <c r="C28" s="39" t="s">
        <v>70</v>
      </c>
      <c r="D28" s="80" t="s">
        <v>0</v>
      </c>
      <c r="E28" s="78" t="s">
        <v>0</v>
      </c>
      <c r="F28" s="78" t="s">
        <v>0</v>
      </c>
      <c r="G28" s="78" t="s">
        <v>0</v>
      </c>
      <c r="H28" s="78" t="s">
        <v>0</v>
      </c>
      <c r="I28" s="78"/>
      <c r="J28" s="78"/>
      <c r="K28" s="43" t="s">
        <v>71</v>
      </c>
      <c r="L28" s="39" t="s">
        <v>72</v>
      </c>
      <c r="M28" s="39" t="s">
        <v>73</v>
      </c>
      <c r="N28" s="39" t="s">
        <v>0</v>
      </c>
      <c r="O28" s="39" t="s">
        <v>0</v>
      </c>
      <c r="P28" s="78" t="s">
        <v>0</v>
      </c>
      <c r="Q28" s="78" t="s">
        <v>0</v>
      </c>
      <c r="R28" s="78" t="s">
        <v>0</v>
      </c>
      <c r="S28" s="78"/>
      <c r="T28" s="78"/>
    </row>
    <row r="29" spans="2:20" ht="24.95" customHeight="1" x14ac:dyDescent="0.3">
      <c r="B29" s="78" t="s">
        <v>100</v>
      </c>
      <c r="C29" s="78" t="s">
        <v>101</v>
      </c>
      <c r="D29" s="78" t="s">
        <v>81</v>
      </c>
      <c r="E29" s="39" t="s">
        <v>82</v>
      </c>
      <c r="F29" s="39" t="s">
        <v>83</v>
      </c>
      <c r="G29" s="78" t="s">
        <v>102</v>
      </c>
      <c r="H29" s="78" t="s">
        <v>0</v>
      </c>
      <c r="I29" s="78" t="s">
        <v>103</v>
      </c>
      <c r="J29" s="78" t="s">
        <v>0</v>
      </c>
      <c r="K29" s="39" t="s">
        <v>62</v>
      </c>
      <c r="L29" s="39" t="s">
        <v>86</v>
      </c>
      <c r="M29" s="39" t="s">
        <v>104</v>
      </c>
      <c r="N29" s="78" t="s">
        <v>55</v>
      </c>
      <c r="O29" s="78" t="s">
        <v>88</v>
      </c>
      <c r="P29" s="78" t="s">
        <v>66</v>
      </c>
      <c r="Q29" s="78" t="s">
        <v>66</v>
      </c>
      <c r="R29" s="78" t="s">
        <v>66</v>
      </c>
      <c r="S29" s="78" t="s">
        <v>53</v>
      </c>
      <c r="T29" s="79">
        <f>755488*V1</f>
        <v>755488</v>
      </c>
    </row>
    <row r="30" spans="2:20" ht="24.95" customHeight="1" x14ac:dyDescent="0.3">
      <c r="B30" s="78" t="s">
        <v>100</v>
      </c>
      <c r="C30" s="78" t="s">
        <v>0</v>
      </c>
      <c r="D30" s="78" t="s">
        <v>0</v>
      </c>
      <c r="E30" s="39" t="s">
        <v>0</v>
      </c>
      <c r="F30" s="39" t="s">
        <v>78</v>
      </c>
      <c r="G30" s="39" t="s">
        <v>89</v>
      </c>
      <c r="H30" s="39" t="s">
        <v>0</v>
      </c>
      <c r="I30" s="39" t="s">
        <v>0</v>
      </c>
      <c r="J30" s="39" t="s">
        <v>0</v>
      </c>
      <c r="K30" s="39" t="s">
        <v>62</v>
      </c>
      <c r="L30" s="39" t="s">
        <v>0</v>
      </c>
      <c r="M30" s="39" t="s">
        <v>69</v>
      </c>
      <c r="N30" s="78" t="s">
        <v>0</v>
      </c>
      <c r="O30" s="78" t="s">
        <v>0</v>
      </c>
      <c r="P30" s="78" t="s">
        <v>0</v>
      </c>
      <c r="Q30" s="78" t="s">
        <v>0</v>
      </c>
      <c r="R30" s="78" t="s">
        <v>0</v>
      </c>
      <c r="S30" s="78"/>
      <c r="T30" s="78"/>
    </row>
    <row r="31" spans="2:20" ht="24.95" customHeight="1" x14ac:dyDescent="0.3">
      <c r="B31" s="78" t="s">
        <v>100</v>
      </c>
      <c r="C31" s="39" t="s">
        <v>70</v>
      </c>
      <c r="D31" s="80" t="s">
        <v>0</v>
      </c>
      <c r="E31" s="78" t="s">
        <v>0</v>
      </c>
      <c r="F31" s="78" t="s">
        <v>0</v>
      </c>
      <c r="G31" s="78" t="s">
        <v>0</v>
      </c>
      <c r="H31" s="78" t="s">
        <v>0</v>
      </c>
      <c r="I31" s="78"/>
      <c r="J31" s="78"/>
      <c r="K31" s="43" t="s">
        <v>71</v>
      </c>
      <c r="L31" s="39" t="s">
        <v>72</v>
      </c>
      <c r="M31" s="39" t="s">
        <v>73</v>
      </c>
      <c r="N31" s="39" t="s">
        <v>0</v>
      </c>
      <c r="O31" s="39" t="s">
        <v>0</v>
      </c>
      <c r="P31" s="78" t="s">
        <v>0</v>
      </c>
      <c r="Q31" s="78" t="s">
        <v>0</v>
      </c>
      <c r="R31" s="78" t="s">
        <v>0</v>
      </c>
      <c r="S31" s="78"/>
      <c r="T31" s="78"/>
    </row>
    <row r="32" spans="2:20" ht="24.95" customHeight="1" x14ac:dyDescent="0.3">
      <c r="B32" s="78" t="s">
        <v>105</v>
      </c>
      <c r="C32" s="78" t="s">
        <v>106</v>
      </c>
      <c r="D32" s="78" t="s">
        <v>107</v>
      </c>
      <c r="E32" s="39" t="s">
        <v>108</v>
      </c>
      <c r="F32" s="39" t="s">
        <v>96</v>
      </c>
      <c r="G32" s="78" t="s">
        <v>109</v>
      </c>
      <c r="H32" s="78" t="s">
        <v>0</v>
      </c>
      <c r="I32" s="78" t="s">
        <v>110</v>
      </c>
      <c r="J32" s="78" t="s">
        <v>0</v>
      </c>
      <c r="K32" s="39" t="s">
        <v>62</v>
      </c>
      <c r="L32" s="39" t="s">
        <v>86</v>
      </c>
      <c r="M32" s="39" t="s">
        <v>104</v>
      </c>
      <c r="N32" s="78" t="s">
        <v>55</v>
      </c>
      <c r="O32" s="78" t="s">
        <v>111</v>
      </c>
      <c r="P32" s="78" t="s">
        <v>66</v>
      </c>
      <c r="Q32" s="78" t="s">
        <v>66</v>
      </c>
      <c r="R32" s="78" t="s">
        <v>67</v>
      </c>
      <c r="S32" s="78" t="s">
        <v>53</v>
      </c>
      <c r="T32" s="79">
        <f>385439*V1</f>
        <v>385439</v>
      </c>
    </row>
    <row r="33" spans="2:20" ht="24.95" customHeight="1" x14ac:dyDescent="0.3">
      <c r="B33" s="78" t="s">
        <v>105</v>
      </c>
      <c r="C33" s="78" t="s">
        <v>0</v>
      </c>
      <c r="D33" s="78" t="s">
        <v>0</v>
      </c>
      <c r="E33" s="39" t="s">
        <v>0</v>
      </c>
      <c r="F33" s="39" t="s">
        <v>78</v>
      </c>
      <c r="G33" s="39" t="s">
        <v>0</v>
      </c>
      <c r="H33" s="39" t="s">
        <v>0</v>
      </c>
      <c r="I33" s="39" t="s">
        <v>0</v>
      </c>
      <c r="J33" s="39" t="s">
        <v>0</v>
      </c>
      <c r="K33" s="39" t="s">
        <v>62</v>
      </c>
      <c r="L33" s="39" t="s">
        <v>86</v>
      </c>
      <c r="M33" s="39" t="s">
        <v>112</v>
      </c>
      <c r="N33" s="78" t="s">
        <v>0</v>
      </c>
      <c r="O33" s="78" t="s">
        <v>0</v>
      </c>
      <c r="P33" s="78" t="s">
        <v>0</v>
      </c>
      <c r="Q33" s="78" t="s">
        <v>0</v>
      </c>
      <c r="R33" s="78" t="s">
        <v>0</v>
      </c>
      <c r="S33" s="78"/>
      <c r="T33" s="78"/>
    </row>
    <row r="34" spans="2:20" ht="24.95" customHeight="1" x14ac:dyDescent="0.3">
      <c r="B34" s="78" t="s">
        <v>105</v>
      </c>
      <c r="C34" s="39" t="s">
        <v>70</v>
      </c>
      <c r="D34" s="80" t="s">
        <v>0</v>
      </c>
      <c r="E34" s="78" t="s">
        <v>0</v>
      </c>
      <c r="F34" s="78" t="s">
        <v>0</v>
      </c>
      <c r="G34" s="78" t="s">
        <v>0</v>
      </c>
      <c r="H34" s="78" t="s">
        <v>0</v>
      </c>
      <c r="I34" s="78"/>
      <c r="J34" s="78"/>
      <c r="K34" s="43" t="s">
        <v>71</v>
      </c>
      <c r="L34" s="39" t="s">
        <v>72</v>
      </c>
      <c r="M34" s="39" t="s">
        <v>73</v>
      </c>
      <c r="N34" s="39" t="s">
        <v>0</v>
      </c>
      <c r="O34" s="39" t="s">
        <v>0</v>
      </c>
      <c r="P34" s="78" t="s">
        <v>0</v>
      </c>
      <c r="Q34" s="78" t="s">
        <v>0</v>
      </c>
      <c r="R34" s="78" t="s">
        <v>0</v>
      </c>
      <c r="S34" s="78"/>
      <c r="T34" s="78"/>
    </row>
    <row r="35" spans="2:20" ht="24.95" customHeight="1" x14ac:dyDescent="0.3">
      <c r="B35" s="78" t="s">
        <v>113</v>
      </c>
      <c r="C35" s="78" t="s">
        <v>114</v>
      </c>
      <c r="D35" s="78" t="s">
        <v>81</v>
      </c>
      <c r="E35" s="39" t="s">
        <v>82</v>
      </c>
      <c r="F35" s="39" t="s">
        <v>96</v>
      </c>
      <c r="G35" s="78" t="s">
        <v>115</v>
      </c>
      <c r="H35" s="78" t="s">
        <v>0</v>
      </c>
      <c r="I35" s="78" t="s">
        <v>116</v>
      </c>
      <c r="J35" s="78" t="s">
        <v>0</v>
      </c>
      <c r="K35" s="39" t="s">
        <v>62</v>
      </c>
      <c r="L35" s="39" t="s">
        <v>86</v>
      </c>
      <c r="M35" s="39" t="s">
        <v>87</v>
      </c>
      <c r="N35" s="78" t="s">
        <v>55</v>
      </c>
      <c r="O35" s="78" t="s">
        <v>99</v>
      </c>
      <c r="P35" s="78" t="s">
        <v>66</v>
      </c>
      <c r="Q35" s="78" t="s">
        <v>66</v>
      </c>
      <c r="R35" s="78" t="s">
        <v>66</v>
      </c>
      <c r="S35" s="78" t="s">
        <v>53</v>
      </c>
      <c r="T35" s="79">
        <f>287130*V1</f>
        <v>287130</v>
      </c>
    </row>
    <row r="36" spans="2:20" ht="24.95" customHeight="1" x14ac:dyDescent="0.3">
      <c r="B36" s="78" t="s">
        <v>113</v>
      </c>
      <c r="C36" s="78" t="s">
        <v>0</v>
      </c>
      <c r="D36" s="78" t="s">
        <v>0</v>
      </c>
      <c r="E36" s="39" t="s">
        <v>0</v>
      </c>
      <c r="F36" s="39" t="s">
        <v>78</v>
      </c>
      <c r="G36" s="39" t="s">
        <v>0</v>
      </c>
      <c r="H36" s="39" t="s">
        <v>0</v>
      </c>
      <c r="I36" s="39" t="s">
        <v>0</v>
      </c>
      <c r="J36" s="39" t="s">
        <v>0</v>
      </c>
      <c r="K36" s="39" t="s">
        <v>62</v>
      </c>
      <c r="L36" s="39" t="s">
        <v>0</v>
      </c>
      <c r="M36" s="39" t="s">
        <v>69</v>
      </c>
      <c r="N36" s="78" t="s">
        <v>0</v>
      </c>
      <c r="O36" s="78" t="s">
        <v>0</v>
      </c>
      <c r="P36" s="78" t="s">
        <v>0</v>
      </c>
      <c r="Q36" s="78" t="s">
        <v>0</v>
      </c>
      <c r="R36" s="78" t="s">
        <v>0</v>
      </c>
      <c r="S36" s="78"/>
      <c r="T36" s="78"/>
    </row>
    <row r="37" spans="2:20" ht="24.95" customHeight="1" x14ac:dyDescent="0.3">
      <c r="B37" s="78" t="s">
        <v>113</v>
      </c>
      <c r="C37" s="39" t="s">
        <v>70</v>
      </c>
      <c r="D37" s="80" t="s">
        <v>0</v>
      </c>
      <c r="E37" s="78" t="s">
        <v>0</v>
      </c>
      <c r="F37" s="78" t="s">
        <v>0</v>
      </c>
      <c r="G37" s="78" t="s">
        <v>0</v>
      </c>
      <c r="H37" s="78" t="s">
        <v>0</v>
      </c>
      <c r="I37" s="78"/>
      <c r="J37" s="78"/>
      <c r="K37" s="43" t="s">
        <v>71</v>
      </c>
      <c r="L37" s="39" t="s">
        <v>72</v>
      </c>
      <c r="M37" s="39" t="s">
        <v>73</v>
      </c>
      <c r="N37" s="39" t="s">
        <v>0</v>
      </c>
      <c r="O37" s="39" t="s">
        <v>0</v>
      </c>
      <c r="P37" s="78" t="s">
        <v>0</v>
      </c>
      <c r="Q37" s="78" t="s">
        <v>0</v>
      </c>
      <c r="R37" s="78" t="s">
        <v>0</v>
      </c>
      <c r="S37" s="78"/>
      <c r="T37" s="78"/>
    </row>
    <row r="38" spans="2:20" ht="24.95" customHeight="1" x14ac:dyDescent="0.3">
      <c r="B38" s="78" t="s">
        <v>117</v>
      </c>
      <c r="C38" s="78" t="s">
        <v>118</v>
      </c>
      <c r="D38" s="78" t="s">
        <v>57</v>
      </c>
      <c r="E38" s="39" t="s">
        <v>58</v>
      </c>
      <c r="F38" s="39" t="s">
        <v>96</v>
      </c>
      <c r="G38" s="78" t="s">
        <v>119</v>
      </c>
      <c r="H38" s="78" t="s">
        <v>0</v>
      </c>
      <c r="I38" s="78" t="s">
        <v>120</v>
      </c>
      <c r="J38" s="78" t="s">
        <v>0</v>
      </c>
      <c r="K38" s="39" t="s">
        <v>62</v>
      </c>
      <c r="L38" s="39" t="s">
        <v>63</v>
      </c>
      <c r="M38" s="39" t="s">
        <v>64</v>
      </c>
      <c r="N38" s="78" t="s">
        <v>55</v>
      </c>
      <c r="O38" s="78" t="s">
        <v>99</v>
      </c>
      <c r="P38" s="78" t="s">
        <v>66</v>
      </c>
      <c r="Q38" s="78" t="s">
        <v>66</v>
      </c>
      <c r="R38" s="78" t="s">
        <v>121</v>
      </c>
      <c r="S38" s="78" t="s">
        <v>53</v>
      </c>
      <c r="T38" s="79">
        <f>295383*V1</f>
        <v>295383</v>
      </c>
    </row>
    <row r="39" spans="2:20" ht="24.95" customHeight="1" x14ac:dyDescent="0.3">
      <c r="B39" s="78" t="s">
        <v>117</v>
      </c>
      <c r="C39" s="78" t="s">
        <v>0</v>
      </c>
      <c r="D39" s="78" t="s">
        <v>0</v>
      </c>
      <c r="E39" s="39" t="s">
        <v>0</v>
      </c>
      <c r="F39" s="39" t="s">
        <v>78</v>
      </c>
      <c r="G39" s="39" t="s">
        <v>0</v>
      </c>
      <c r="H39" s="39" t="s">
        <v>0</v>
      </c>
      <c r="I39" s="39" t="s">
        <v>0</v>
      </c>
      <c r="J39" s="39" t="s">
        <v>0</v>
      </c>
      <c r="K39" s="39" t="s">
        <v>62</v>
      </c>
      <c r="L39" s="39" t="s">
        <v>0</v>
      </c>
      <c r="M39" s="39" t="s">
        <v>69</v>
      </c>
      <c r="N39" s="78" t="s">
        <v>0</v>
      </c>
      <c r="O39" s="78" t="s">
        <v>0</v>
      </c>
      <c r="P39" s="78" t="s">
        <v>0</v>
      </c>
      <c r="Q39" s="78" t="s">
        <v>0</v>
      </c>
      <c r="R39" s="78" t="s">
        <v>0</v>
      </c>
      <c r="S39" s="78"/>
      <c r="T39" s="78"/>
    </row>
    <row r="40" spans="2:20" ht="24.95" customHeight="1" x14ac:dyDescent="0.3">
      <c r="B40" s="78" t="s">
        <v>117</v>
      </c>
      <c r="C40" s="39" t="s">
        <v>70</v>
      </c>
      <c r="D40" s="80" t="s">
        <v>0</v>
      </c>
      <c r="E40" s="78" t="s">
        <v>0</v>
      </c>
      <c r="F40" s="78" t="s">
        <v>0</v>
      </c>
      <c r="G40" s="78" t="s">
        <v>0</v>
      </c>
      <c r="H40" s="78" t="s">
        <v>0</v>
      </c>
      <c r="I40" s="78"/>
      <c r="J40" s="78"/>
      <c r="K40" s="43" t="s">
        <v>71</v>
      </c>
      <c r="L40" s="39" t="s">
        <v>72</v>
      </c>
      <c r="M40" s="39" t="s">
        <v>73</v>
      </c>
      <c r="N40" s="39" t="s">
        <v>0</v>
      </c>
      <c r="O40" s="39" t="s">
        <v>0</v>
      </c>
      <c r="P40" s="78" t="s">
        <v>0</v>
      </c>
      <c r="Q40" s="78" t="s">
        <v>0</v>
      </c>
      <c r="R40" s="78" t="s">
        <v>0</v>
      </c>
      <c r="S40" s="78"/>
      <c r="T40" s="78"/>
    </row>
    <row r="41" spans="2:20" ht="24.95" customHeight="1" x14ac:dyDescent="0.3">
      <c r="B41" s="78" t="s">
        <v>122</v>
      </c>
      <c r="C41" s="78" t="s">
        <v>123</v>
      </c>
      <c r="D41" s="78" t="s">
        <v>124</v>
      </c>
      <c r="E41" s="39" t="s">
        <v>125</v>
      </c>
      <c r="F41" s="39" t="s">
        <v>126</v>
      </c>
      <c r="G41" s="78" t="s">
        <v>127</v>
      </c>
      <c r="H41" s="78" t="s">
        <v>0</v>
      </c>
      <c r="I41" s="78" t="s">
        <v>120</v>
      </c>
      <c r="J41" s="78" t="s">
        <v>0</v>
      </c>
      <c r="K41" s="39" t="s">
        <v>62</v>
      </c>
      <c r="L41" s="39" t="s">
        <v>128</v>
      </c>
      <c r="M41" s="39" t="s">
        <v>129</v>
      </c>
      <c r="N41" s="78" t="s">
        <v>55</v>
      </c>
      <c r="O41" s="78" t="s">
        <v>69</v>
      </c>
      <c r="P41" s="78" t="s">
        <v>66</v>
      </c>
      <c r="Q41" s="78" t="s">
        <v>66</v>
      </c>
      <c r="R41" s="78" t="s">
        <v>66</v>
      </c>
      <c r="S41" s="78" t="s">
        <v>66</v>
      </c>
      <c r="T41" s="79">
        <f>136077*V1</f>
        <v>136077</v>
      </c>
    </row>
    <row r="42" spans="2:20" ht="24.95" customHeight="1" x14ac:dyDescent="0.3">
      <c r="B42" s="78" t="s">
        <v>122</v>
      </c>
      <c r="C42" s="78" t="s">
        <v>0</v>
      </c>
      <c r="D42" s="78" t="s">
        <v>0</v>
      </c>
      <c r="E42" s="39" t="s">
        <v>0</v>
      </c>
      <c r="F42" s="39" t="s">
        <v>68</v>
      </c>
      <c r="G42" s="39" t="s">
        <v>0</v>
      </c>
      <c r="H42" s="39" t="s">
        <v>0</v>
      </c>
      <c r="I42" s="39" t="s">
        <v>0</v>
      </c>
      <c r="J42" s="39" t="s">
        <v>0</v>
      </c>
      <c r="K42" s="39" t="s">
        <v>62</v>
      </c>
      <c r="L42" s="39" t="s">
        <v>0</v>
      </c>
      <c r="M42" s="39" t="s">
        <v>69</v>
      </c>
      <c r="N42" s="78" t="s">
        <v>0</v>
      </c>
      <c r="O42" s="78" t="s">
        <v>0</v>
      </c>
      <c r="P42" s="78" t="s">
        <v>0</v>
      </c>
      <c r="Q42" s="78" t="s">
        <v>0</v>
      </c>
      <c r="R42" s="78" t="s">
        <v>0</v>
      </c>
      <c r="S42" s="78"/>
      <c r="T42" s="78"/>
    </row>
    <row r="43" spans="2:20" ht="24.95" customHeight="1" x14ac:dyDescent="0.3">
      <c r="B43" s="78" t="s">
        <v>122</v>
      </c>
      <c r="C43" s="39" t="s">
        <v>70</v>
      </c>
      <c r="D43" s="80" t="s">
        <v>0</v>
      </c>
      <c r="E43" s="78" t="s">
        <v>0</v>
      </c>
      <c r="F43" s="78" t="s">
        <v>0</v>
      </c>
      <c r="G43" s="78" t="s">
        <v>0</v>
      </c>
      <c r="H43" s="78" t="s">
        <v>0</v>
      </c>
      <c r="I43" s="78"/>
      <c r="J43" s="78"/>
      <c r="K43" s="43" t="s">
        <v>71</v>
      </c>
      <c r="L43" s="39" t="s">
        <v>72</v>
      </c>
      <c r="M43" s="39" t="s">
        <v>73</v>
      </c>
      <c r="N43" s="39" t="s">
        <v>0</v>
      </c>
      <c r="O43" s="39" t="s">
        <v>0</v>
      </c>
      <c r="P43" s="78" t="s">
        <v>0</v>
      </c>
      <c r="Q43" s="78" t="s">
        <v>0</v>
      </c>
      <c r="R43" s="78" t="s">
        <v>0</v>
      </c>
      <c r="S43" s="78"/>
      <c r="T43" s="78"/>
    </row>
    <row r="44" spans="2:20" ht="24.95" customHeight="1" x14ac:dyDescent="0.3">
      <c r="B44" s="78" t="s">
        <v>130</v>
      </c>
      <c r="C44" s="78" t="s">
        <v>131</v>
      </c>
      <c r="D44" s="78" t="s">
        <v>124</v>
      </c>
      <c r="E44" s="39" t="s">
        <v>125</v>
      </c>
      <c r="F44" s="39" t="s">
        <v>126</v>
      </c>
      <c r="G44" s="78" t="s">
        <v>132</v>
      </c>
      <c r="H44" s="78" t="s">
        <v>0</v>
      </c>
      <c r="I44" s="78" t="s">
        <v>120</v>
      </c>
      <c r="J44" s="78" t="s">
        <v>0</v>
      </c>
      <c r="K44" s="39" t="s">
        <v>62</v>
      </c>
      <c r="L44" s="39" t="s">
        <v>128</v>
      </c>
      <c r="M44" s="39" t="s">
        <v>129</v>
      </c>
      <c r="N44" s="78" t="s">
        <v>55</v>
      </c>
      <c r="O44" s="78" t="s">
        <v>69</v>
      </c>
      <c r="P44" s="78" t="s">
        <v>66</v>
      </c>
      <c r="Q44" s="78" t="s">
        <v>66</v>
      </c>
      <c r="R44" s="78" t="s">
        <v>66</v>
      </c>
      <c r="S44" s="78" t="s">
        <v>66</v>
      </c>
      <c r="T44" s="79">
        <f>142737*V1</f>
        <v>142737</v>
      </c>
    </row>
    <row r="45" spans="2:20" ht="24.95" customHeight="1" x14ac:dyDescent="0.3">
      <c r="B45" s="78" t="s">
        <v>130</v>
      </c>
      <c r="C45" s="78" t="s">
        <v>0</v>
      </c>
      <c r="D45" s="78" t="s">
        <v>0</v>
      </c>
      <c r="E45" s="39" t="s">
        <v>0</v>
      </c>
      <c r="F45" s="39" t="s">
        <v>68</v>
      </c>
      <c r="G45" s="39" t="s">
        <v>0</v>
      </c>
      <c r="H45" s="39" t="s">
        <v>0</v>
      </c>
      <c r="I45" s="39" t="s">
        <v>0</v>
      </c>
      <c r="J45" s="39" t="s">
        <v>0</v>
      </c>
      <c r="K45" s="39" t="s">
        <v>62</v>
      </c>
      <c r="L45" s="39" t="s">
        <v>0</v>
      </c>
      <c r="M45" s="39" t="s">
        <v>69</v>
      </c>
      <c r="N45" s="78" t="s">
        <v>0</v>
      </c>
      <c r="O45" s="78" t="s">
        <v>0</v>
      </c>
      <c r="P45" s="78" t="s">
        <v>0</v>
      </c>
      <c r="Q45" s="78" t="s">
        <v>0</v>
      </c>
      <c r="R45" s="78" t="s">
        <v>0</v>
      </c>
      <c r="S45" s="78"/>
      <c r="T45" s="78"/>
    </row>
    <row r="46" spans="2:20" ht="24.95" customHeight="1" x14ac:dyDescent="0.3">
      <c r="B46" s="78" t="s">
        <v>130</v>
      </c>
      <c r="C46" s="39" t="s">
        <v>70</v>
      </c>
      <c r="D46" s="80" t="s">
        <v>0</v>
      </c>
      <c r="E46" s="78" t="s">
        <v>0</v>
      </c>
      <c r="F46" s="78" t="s">
        <v>0</v>
      </c>
      <c r="G46" s="78" t="s">
        <v>0</v>
      </c>
      <c r="H46" s="78" t="s">
        <v>0</v>
      </c>
      <c r="I46" s="78"/>
      <c r="J46" s="78"/>
      <c r="K46" s="43" t="s">
        <v>71</v>
      </c>
      <c r="L46" s="39" t="s">
        <v>72</v>
      </c>
      <c r="M46" s="39" t="s">
        <v>73</v>
      </c>
      <c r="N46" s="39" t="s">
        <v>0</v>
      </c>
      <c r="O46" s="39" t="s">
        <v>0</v>
      </c>
      <c r="P46" s="78" t="s">
        <v>0</v>
      </c>
      <c r="Q46" s="78" t="s">
        <v>0</v>
      </c>
      <c r="R46" s="78" t="s">
        <v>0</v>
      </c>
      <c r="S46" s="78"/>
      <c r="T46" s="78"/>
    </row>
    <row r="47" spans="2:20" ht="24.95" customHeight="1" x14ac:dyDescent="0.3">
      <c r="B47" s="78" t="s">
        <v>133</v>
      </c>
      <c r="C47" s="78" t="s">
        <v>134</v>
      </c>
      <c r="D47" s="78" t="s">
        <v>135</v>
      </c>
      <c r="E47" s="39" t="s">
        <v>136</v>
      </c>
      <c r="F47" s="39" t="s">
        <v>137</v>
      </c>
      <c r="G47" s="78" t="s">
        <v>120</v>
      </c>
      <c r="H47" s="78" t="s">
        <v>0</v>
      </c>
      <c r="I47" s="78" t="s">
        <v>0</v>
      </c>
      <c r="J47" s="78" t="s">
        <v>0</v>
      </c>
      <c r="K47" s="39" t="s">
        <v>62</v>
      </c>
      <c r="L47" s="39" t="s">
        <v>0</v>
      </c>
      <c r="M47" s="39" t="s">
        <v>69</v>
      </c>
      <c r="N47" s="78" t="s">
        <v>74</v>
      </c>
      <c r="O47" s="78" t="s">
        <v>69</v>
      </c>
      <c r="P47" s="78" t="s">
        <v>66</v>
      </c>
      <c r="Q47" s="78" t="s">
        <v>66</v>
      </c>
      <c r="R47" s="78" t="s">
        <v>66</v>
      </c>
      <c r="S47" s="78" t="s">
        <v>66</v>
      </c>
      <c r="T47" s="79">
        <f>16739*V1</f>
        <v>16739</v>
      </c>
    </row>
    <row r="48" spans="2:20" ht="24.95" customHeight="1" x14ac:dyDescent="0.3">
      <c r="B48" s="78" t="s">
        <v>133</v>
      </c>
      <c r="C48" s="78" t="s">
        <v>0</v>
      </c>
      <c r="D48" s="78" t="s">
        <v>0</v>
      </c>
      <c r="E48" s="39" t="s">
        <v>0</v>
      </c>
      <c r="F48" s="39" t="s">
        <v>68</v>
      </c>
      <c r="G48" s="39" t="s">
        <v>0</v>
      </c>
      <c r="H48" s="39" t="s">
        <v>0</v>
      </c>
      <c r="I48" s="39" t="s">
        <v>0</v>
      </c>
      <c r="J48" s="39" t="s">
        <v>0</v>
      </c>
      <c r="K48" s="39" t="s">
        <v>62</v>
      </c>
      <c r="L48" s="39" t="s">
        <v>0</v>
      </c>
      <c r="M48" s="39" t="s">
        <v>69</v>
      </c>
      <c r="N48" s="78" t="s">
        <v>0</v>
      </c>
      <c r="O48" s="78" t="s">
        <v>0</v>
      </c>
      <c r="P48" s="78" t="s">
        <v>0</v>
      </c>
      <c r="Q48" s="78" t="s">
        <v>0</v>
      </c>
      <c r="R48" s="78" t="s">
        <v>0</v>
      </c>
      <c r="S48" s="78"/>
      <c r="T48" s="78"/>
    </row>
    <row r="49" spans="2:20" ht="24.95" customHeight="1" x14ac:dyDescent="0.3">
      <c r="B49" s="78" t="s">
        <v>133</v>
      </c>
      <c r="C49" s="39" t="s">
        <v>70</v>
      </c>
      <c r="D49" s="80" t="s">
        <v>0</v>
      </c>
      <c r="E49" s="78" t="s">
        <v>0</v>
      </c>
      <c r="F49" s="78" t="s">
        <v>0</v>
      </c>
      <c r="G49" s="78" t="s">
        <v>0</v>
      </c>
      <c r="H49" s="78" t="s">
        <v>0</v>
      </c>
      <c r="I49" s="78"/>
      <c r="J49" s="78"/>
      <c r="K49" s="39" t="s">
        <v>0</v>
      </c>
      <c r="L49" s="39" t="s">
        <v>72</v>
      </c>
      <c r="M49" s="39" t="s">
        <v>73</v>
      </c>
      <c r="N49" s="39" t="s">
        <v>0</v>
      </c>
      <c r="O49" s="39" t="s">
        <v>0</v>
      </c>
      <c r="P49" s="78" t="s">
        <v>0</v>
      </c>
      <c r="Q49" s="78" t="s">
        <v>0</v>
      </c>
      <c r="R49" s="78" t="s">
        <v>0</v>
      </c>
      <c r="S49" s="78"/>
      <c r="T49" s="78"/>
    </row>
    <row r="50" spans="2:20" ht="24.95" customHeight="1" x14ac:dyDescent="0.3">
      <c r="B50" s="78" t="s">
        <v>138</v>
      </c>
      <c r="C50" s="78" t="s">
        <v>139</v>
      </c>
      <c r="D50" s="78" t="s">
        <v>135</v>
      </c>
      <c r="E50" s="39" t="s">
        <v>140</v>
      </c>
      <c r="F50" s="39" t="s">
        <v>137</v>
      </c>
      <c r="G50" s="78" t="s">
        <v>61</v>
      </c>
      <c r="H50" s="78" t="s">
        <v>0</v>
      </c>
      <c r="I50" s="78" t="s">
        <v>0</v>
      </c>
      <c r="J50" s="78" t="s">
        <v>0</v>
      </c>
      <c r="K50" s="39" t="s">
        <v>62</v>
      </c>
      <c r="L50" s="39" t="s">
        <v>0</v>
      </c>
      <c r="M50" s="39" t="s">
        <v>69</v>
      </c>
      <c r="N50" s="78" t="s">
        <v>74</v>
      </c>
      <c r="O50" s="78" t="s">
        <v>69</v>
      </c>
      <c r="P50" s="78" t="s">
        <v>66</v>
      </c>
      <c r="Q50" s="78" t="s">
        <v>66</v>
      </c>
      <c r="R50" s="78" t="s">
        <v>66</v>
      </c>
      <c r="S50" s="78" t="s">
        <v>66</v>
      </c>
      <c r="T50" s="79">
        <f>36282*V1</f>
        <v>36282</v>
      </c>
    </row>
    <row r="51" spans="2:20" ht="24.95" customHeight="1" x14ac:dyDescent="0.3">
      <c r="B51" s="78" t="s">
        <v>138</v>
      </c>
      <c r="C51" s="78" t="s">
        <v>0</v>
      </c>
      <c r="D51" s="78" t="s">
        <v>0</v>
      </c>
      <c r="E51" s="39" t="s">
        <v>0</v>
      </c>
      <c r="F51" s="39" t="s">
        <v>68</v>
      </c>
      <c r="G51" s="39" t="s">
        <v>0</v>
      </c>
      <c r="H51" s="39" t="s">
        <v>0</v>
      </c>
      <c r="I51" s="39" t="s">
        <v>0</v>
      </c>
      <c r="J51" s="39" t="s">
        <v>0</v>
      </c>
      <c r="K51" s="39" t="s">
        <v>62</v>
      </c>
      <c r="L51" s="39" t="s">
        <v>0</v>
      </c>
      <c r="M51" s="39" t="s">
        <v>69</v>
      </c>
      <c r="N51" s="78" t="s">
        <v>0</v>
      </c>
      <c r="O51" s="78" t="s">
        <v>0</v>
      </c>
      <c r="P51" s="78" t="s">
        <v>0</v>
      </c>
      <c r="Q51" s="78" t="s">
        <v>0</v>
      </c>
      <c r="R51" s="78" t="s">
        <v>0</v>
      </c>
      <c r="S51" s="78"/>
      <c r="T51" s="78"/>
    </row>
    <row r="52" spans="2:20" ht="24.95" customHeight="1" x14ac:dyDescent="0.3">
      <c r="B52" s="78" t="s">
        <v>138</v>
      </c>
      <c r="C52" s="39" t="s">
        <v>70</v>
      </c>
      <c r="D52" s="80" t="s">
        <v>0</v>
      </c>
      <c r="E52" s="78" t="s">
        <v>0</v>
      </c>
      <c r="F52" s="78" t="s">
        <v>0</v>
      </c>
      <c r="G52" s="78" t="s">
        <v>0</v>
      </c>
      <c r="H52" s="78" t="s">
        <v>0</v>
      </c>
      <c r="I52" s="78"/>
      <c r="J52" s="78"/>
      <c r="K52" s="39" t="s">
        <v>0</v>
      </c>
      <c r="L52" s="39" t="s">
        <v>72</v>
      </c>
      <c r="M52" s="39" t="s">
        <v>73</v>
      </c>
      <c r="N52" s="39" t="s">
        <v>0</v>
      </c>
      <c r="O52" s="39" t="s">
        <v>0</v>
      </c>
      <c r="P52" s="78" t="s">
        <v>0</v>
      </c>
      <c r="Q52" s="78" t="s">
        <v>0</v>
      </c>
      <c r="R52" s="78" t="s">
        <v>0</v>
      </c>
      <c r="S52" s="78"/>
      <c r="T52" s="78"/>
    </row>
    <row r="53" spans="2:20" ht="24.95" customHeight="1" x14ac:dyDescent="0.3">
      <c r="B53" s="78" t="s">
        <v>141</v>
      </c>
      <c r="C53" s="78" t="s">
        <v>134</v>
      </c>
      <c r="D53" s="78" t="s">
        <v>135</v>
      </c>
      <c r="E53" s="39" t="s">
        <v>142</v>
      </c>
      <c r="F53" s="39" t="s">
        <v>137</v>
      </c>
      <c r="G53" s="78" t="s">
        <v>120</v>
      </c>
      <c r="H53" s="78" t="s">
        <v>0</v>
      </c>
      <c r="I53" s="78" t="s">
        <v>0</v>
      </c>
      <c r="J53" s="78" t="s">
        <v>0</v>
      </c>
      <c r="K53" s="39" t="s">
        <v>62</v>
      </c>
      <c r="L53" s="39" t="s">
        <v>0</v>
      </c>
      <c r="M53" s="39" t="s">
        <v>69</v>
      </c>
      <c r="N53" s="78" t="s">
        <v>55</v>
      </c>
      <c r="O53" s="78" t="s">
        <v>69</v>
      </c>
      <c r="P53" s="78" t="s">
        <v>66</v>
      </c>
      <c r="Q53" s="78" t="s">
        <v>66</v>
      </c>
      <c r="R53" s="78" t="s">
        <v>66</v>
      </c>
      <c r="S53" s="78" t="s">
        <v>66</v>
      </c>
      <c r="T53" s="79">
        <f>8900*V1</f>
        <v>8900</v>
      </c>
    </row>
    <row r="54" spans="2:20" ht="24.95" customHeight="1" x14ac:dyDescent="0.3">
      <c r="B54" s="78" t="s">
        <v>141</v>
      </c>
      <c r="C54" s="78" t="s">
        <v>0</v>
      </c>
      <c r="D54" s="78" t="s">
        <v>0</v>
      </c>
      <c r="E54" s="39" t="s">
        <v>0</v>
      </c>
      <c r="F54" s="39" t="s">
        <v>68</v>
      </c>
      <c r="G54" s="39" t="s">
        <v>0</v>
      </c>
      <c r="H54" s="39" t="s">
        <v>0</v>
      </c>
      <c r="I54" s="39" t="s">
        <v>0</v>
      </c>
      <c r="J54" s="39" t="s">
        <v>0</v>
      </c>
      <c r="K54" s="39" t="s">
        <v>62</v>
      </c>
      <c r="L54" s="39" t="s">
        <v>0</v>
      </c>
      <c r="M54" s="39" t="s">
        <v>69</v>
      </c>
      <c r="N54" s="78" t="s">
        <v>0</v>
      </c>
      <c r="O54" s="78" t="s">
        <v>0</v>
      </c>
      <c r="P54" s="78" t="s">
        <v>0</v>
      </c>
      <c r="Q54" s="78" t="s">
        <v>0</v>
      </c>
      <c r="R54" s="78" t="s">
        <v>0</v>
      </c>
      <c r="S54" s="78"/>
      <c r="T54" s="78"/>
    </row>
    <row r="55" spans="2:20" ht="24.95" customHeight="1" x14ac:dyDescent="0.3">
      <c r="B55" s="78" t="s">
        <v>141</v>
      </c>
      <c r="C55" s="39" t="s">
        <v>70</v>
      </c>
      <c r="D55" s="80" t="s">
        <v>0</v>
      </c>
      <c r="E55" s="78" t="s">
        <v>0</v>
      </c>
      <c r="F55" s="78" t="s">
        <v>0</v>
      </c>
      <c r="G55" s="78" t="s">
        <v>0</v>
      </c>
      <c r="H55" s="78" t="s">
        <v>0</v>
      </c>
      <c r="I55" s="78"/>
      <c r="J55" s="78"/>
      <c r="K55" s="39" t="s">
        <v>0</v>
      </c>
      <c r="L55" s="39" t="s">
        <v>72</v>
      </c>
      <c r="M55" s="39" t="s">
        <v>73</v>
      </c>
      <c r="N55" s="39" t="s">
        <v>0</v>
      </c>
      <c r="O55" s="39" t="s">
        <v>0</v>
      </c>
      <c r="P55" s="78" t="s">
        <v>0</v>
      </c>
      <c r="Q55" s="78" t="s">
        <v>0</v>
      </c>
      <c r="R55" s="78" t="s">
        <v>0</v>
      </c>
      <c r="S55" s="78"/>
      <c r="T55" s="78"/>
    </row>
    <row r="56" spans="2:20" ht="24.95" customHeight="1" x14ac:dyDescent="0.3">
      <c r="B56" s="78" t="s">
        <v>143</v>
      </c>
      <c r="C56" s="78" t="s">
        <v>69</v>
      </c>
      <c r="D56" s="78" t="s">
        <v>144</v>
      </c>
      <c r="E56" s="39" t="s">
        <v>145</v>
      </c>
      <c r="F56" s="39" t="s">
        <v>69</v>
      </c>
      <c r="G56" s="78" t="s">
        <v>0</v>
      </c>
      <c r="H56" s="78" t="s">
        <v>0</v>
      </c>
      <c r="I56" s="78" t="s">
        <v>0</v>
      </c>
      <c r="J56" s="78" t="s">
        <v>0</v>
      </c>
      <c r="K56" s="39" t="s">
        <v>69</v>
      </c>
      <c r="L56" s="39" t="s">
        <v>0</v>
      </c>
      <c r="M56" s="39" t="s">
        <v>69</v>
      </c>
      <c r="N56" s="78" t="s">
        <v>55</v>
      </c>
      <c r="O56" s="78" t="s">
        <v>69</v>
      </c>
      <c r="P56" s="78" t="s">
        <v>0</v>
      </c>
      <c r="Q56" s="78" t="s">
        <v>0</v>
      </c>
      <c r="R56" s="78" t="s">
        <v>69</v>
      </c>
      <c r="S56" s="78" t="s">
        <v>69</v>
      </c>
      <c r="T56" s="79">
        <f>350000*V1</f>
        <v>350000</v>
      </c>
    </row>
    <row r="57" spans="2:20" ht="24.95" customHeight="1" x14ac:dyDescent="0.3">
      <c r="B57" s="78" t="s">
        <v>143</v>
      </c>
      <c r="C57" s="78" t="s">
        <v>0</v>
      </c>
      <c r="D57" s="78" t="s">
        <v>0</v>
      </c>
      <c r="E57" s="39" t="s">
        <v>0</v>
      </c>
      <c r="F57" s="39" t="s">
        <v>69</v>
      </c>
      <c r="G57" s="39" t="s">
        <v>0</v>
      </c>
      <c r="H57" s="39" t="s">
        <v>0</v>
      </c>
      <c r="I57" s="39" t="s">
        <v>0</v>
      </c>
      <c r="J57" s="39" t="s">
        <v>0</v>
      </c>
      <c r="K57" s="39" t="s">
        <v>69</v>
      </c>
      <c r="L57" s="39" t="s">
        <v>0</v>
      </c>
      <c r="M57" s="39" t="s">
        <v>69</v>
      </c>
      <c r="N57" s="78" t="s">
        <v>0</v>
      </c>
      <c r="O57" s="78" t="s">
        <v>0</v>
      </c>
      <c r="P57" s="78" t="s">
        <v>0</v>
      </c>
      <c r="Q57" s="78" t="s">
        <v>0</v>
      </c>
      <c r="R57" s="78" t="s">
        <v>0</v>
      </c>
      <c r="S57" s="78"/>
      <c r="T57" s="78"/>
    </row>
    <row r="58" spans="2:20" ht="24.95" customHeight="1" x14ac:dyDescent="0.3">
      <c r="B58" s="78" t="s">
        <v>143</v>
      </c>
      <c r="C58" s="39" t="s">
        <v>70</v>
      </c>
      <c r="D58" s="80" t="s">
        <v>0</v>
      </c>
      <c r="E58" s="78" t="s">
        <v>0</v>
      </c>
      <c r="F58" s="78" t="s">
        <v>0</v>
      </c>
      <c r="G58" s="78" t="s">
        <v>0</v>
      </c>
      <c r="H58" s="78" t="s">
        <v>0</v>
      </c>
      <c r="I58" s="78"/>
      <c r="J58" s="78"/>
      <c r="K58" s="39" t="s">
        <v>0</v>
      </c>
      <c r="L58" s="39" t="s">
        <v>0</v>
      </c>
      <c r="M58" s="39" t="s">
        <v>0</v>
      </c>
      <c r="N58" s="39" t="s">
        <v>0</v>
      </c>
      <c r="O58" s="39" t="s">
        <v>0</v>
      </c>
      <c r="P58" s="78" t="s">
        <v>0</v>
      </c>
      <c r="Q58" s="78" t="s">
        <v>0</v>
      </c>
      <c r="R58" s="78" t="s">
        <v>0</v>
      </c>
      <c r="S58" s="78"/>
      <c r="T58" s="78"/>
    </row>
    <row r="59" spans="2:20" ht="24.95" customHeight="1" x14ac:dyDescent="0.3">
      <c r="B59" s="78" t="s">
        <v>146</v>
      </c>
      <c r="C59" s="78" t="s">
        <v>69</v>
      </c>
      <c r="D59" s="78" t="s">
        <v>144</v>
      </c>
      <c r="E59" s="39" t="s">
        <v>147</v>
      </c>
      <c r="F59" s="39" t="s">
        <v>69</v>
      </c>
      <c r="G59" s="78" t="s">
        <v>0</v>
      </c>
      <c r="H59" s="78" t="s">
        <v>0</v>
      </c>
      <c r="I59" s="78" t="s">
        <v>0</v>
      </c>
      <c r="J59" s="78" t="s">
        <v>0</v>
      </c>
      <c r="K59" s="39" t="s">
        <v>69</v>
      </c>
      <c r="L59" s="39" t="s">
        <v>0</v>
      </c>
      <c r="M59" s="39" t="s">
        <v>69</v>
      </c>
      <c r="N59" s="78" t="s">
        <v>55</v>
      </c>
      <c r="O59" s="78" t="s">
        <v>69</v>
      </c>
      <c r="P59" s="78" t="s">
        <v>0</v>
      </c>
      <c r="Q59" s="78" t="s">
        <v>0</v>
      </c>
      <c r="R59" s="78" t="s">
        <v>69</v>
      </c>
      <c r="S59" s="78" t="s">
        <v>69</v>
      </c>
      <c r="T59" s="79">
        <f>250000*V1</f>
        <v>250000</v>
      </c>
    </row>
    <row r="60" spans="2:20" ht="24.95" customHeight="1" x14ac:dyDescent="0.3">
      <c r="B60" s="78" t="s">
        <v>146</v>
      </c>
      <c r="C60" s="78" t="s">
        <v>0</v>
      </c>
      <c r="D60" s="78" t="s">
        <v>0</v>
      </c>
      <c r="E60" s="39" t="s">
        <v>0</v>
      </c>
      <c r="F60" s="39" t="s">
        <v>69</v>
      </c>
      <c r="G60" s="39" t="s">
        <v>0</v>
      </c>
      <c r="H60" s="39" t="s">
        <v>0</v>
      </c>
      <c r="I60" s="39" t="s">
        <v>0</v>
      </c>
      <c r="J60" s="39" t="s">
        <v>0</v>
      </c>
      <c r="K60" s="39" t="s">
        <v>69</v>
      </c>
      <c r="L60" s="39" t="s">
        <v>0</v>
      </c>
      <c r="M60" s="39" t="s">
        <v>69</v>
      </c>
      <c r="N60" s="78" t="s">
        <v>0</v>
      </c>
      <c r="O60" s="78" t="s">
        <v>0</v>
      </c>
      <c r="P60" s="78" t="s">
        <v>0</v>
      </c>
      <c r="Q60" s="78" t="s">
        <v>0</v>
      </c>
      <c r="R60" s="78" t="s">
        <v>0</v>
      </c>
      <c r="S60" s="78"/>
      <c r="T60" s="78"/>
    </row>
    <row r="61" spans="2:20" ht="24.95" customHeight="1" x14ac:dyDescent="0.3">
      <c r="B61" s="78" t="s">
        <v>146</v>
      </c>
      <c r="C61" s="39" t="s">
        <v>70</v>
      </c>
      <c r="D61" s="80" t="s">
        <v>0</v>
      </c>
      <c r="E61" s="78" t="s">
        <v>0</v>
      </c>
      <c r="F61" s="78" t="s">
        <v>0</v>
      </c>
      <c r="G61" s="78" t="s">
        <v>0</v>
      </c>
      <c r="H61" s="78" t="s">
        <v>0</v>
      </c>
      <c r="I61" s="78"/>
      <c r="J61" s="78"/>
      <c r="K61" s="39" t="s">
        <v>0</v>
      </c>
      <c r="L61" s="39" t="s">
        <v>0</v>
      </c>
      <c r="M61" s="39" t="s">
        <v>0</v>
      </c>
      <c r="N61" s="39" t="s">
        <v>0</v>
      </c>
      <c r="O61" s="39" t="s">
        <v>0</v>
      </c>
      <c r="P61" s="78" t="s">
        <v>0</v>
      </c>
      <c r="Q61" s="78" t="s">
        <v>0</v>
      </c>
      <c r="R61" s="78" t="s">
        <v>0</v>
      </c>
      <c r="S61" s="78"/>
      <c r="T61" s="78"/>
    </row>
    <row r="62" spans="2:20" ht="24.95" customHeight="1" x14ac:dyDescent="0.3">
      <c r="B62" s="78" t="s">
        <v>148</v>
      </c>
      <c r="C62" s="78" t="s">
        <v>69</v>
      </c>
      <c r="D62" s="78" t="s">
        <v>144</v>
      </c>
      <c r="E62" s="39" t="s">
        <v>149</v>
      </c>
      <c r="F62" s="39" t="s">
        <v>69</v>
      </c>
      <c r="G62" s="78" t="s">
        <v>0</v>
      </c>
      <c r="H62" s="78" t="s">
        <v>0</v>
      </c>
      <c r="I62" s="78" t="s">
        <v>0</v>
      </c>
      <c r="J62" s="78" t="s">
        <v>0</v>
      </c>
      <c r="K62" s="39" t="s">
        <v>69</v>
      </c>
      <c r="L62" s="39" t="s">
        <v>0</v>
      </c>
      <c r="M62" s="39" t="s">
        <v>69</v>
      </c>
      <c r="N62" s="78" t="s">
        <v>55</v>
      </c>
      <c r="O62" s="78" t="s">
        <v>69</v>
      </c>
      <c r="P62" s="78" t="s">
        <v>0</v>
      </c>
      <c r="Q62" s="78" t="s">
        <v>0</v>
      </c>
      <c r="R62" s="78" t="s">
        <v>69</v>
      </c>
      <c r="S62" s="78" t="s">
        <v>69</v>
      </c>
      <c r="T62" s="79">
        <f>300000*V1</f>
        <v>300000</v>
      </c>
    </row>
    <row r="63" spans="2:20" ht="24.95" customHeight="1" x14ac:dyDescent="0.3">
      <c r="B63" s="78" t="s">
        <v>148</v>
      </c>
      <c r="C63" s="78" t="s">
        <v>0</v>
      </c>
      <c r="D63" s="78" t="s">
        <v>0</v>
      </c>
      <c r="E63" s="39" t="s">
        <v>0</v>
      </c>
      <c r="F63" s="39" t="s">
        <v>69</v>
      </c>
      <c r="G63" s="39" t="s">
        <v>0</v>
      </c>
      <c r="H63" s="39" t="s">
        <v>0</v>
      </c>
      <c r="I63" s="39" t="s">
        <v>0</v>
      </c>
      <c r="J63" s="39" t="s">
        <v>0</v>
      </c>
      <c r="K63" s="39" t="s">
        <v>69</v>
      </c>
      <c r="L63" s="39" t="s">
        <v>0</v>
      </c>
      <c r="M63" s="39" t="s">
        <v>69</v>
      </c>
      <c r="N63" s="78" t="s">
        <v>0</v>
      </c>
      <c r="O63" s="78" t="s">
        <v>0</v>
      </c>
      <c r="P63" s="78" t="s">
        <v>0</v>
      </c>
      <c r="Q63" s="78" t="s">
        <v>0</v>
      </c>
      <c r="R63" s="78" t="s">
        <v>0</v>
      </c>
      <c r="S63" s="78"/>
      <c r="T63" s="78"/>
    </row>
    <row r="64" spans="2:20" ht="24.95" customHeight="1" x14ac:dyDescent="0.3">
      <c r="B64" s="78" t="s">
        <v>148</v>
      </c>
      <c r="C64" s="39" t="s">
        <v>70</v>
      </c>
      <c r="D64" s="80" t="s">
        <v>0</v>
      </c>
      <c r="E64" s="78" t="s">
        <v>0</v>
      </c>
      <c r="F64" s="78" t="s">
        <v>0</v>
      </c>
      <c r="G64" s="78" t="s">
        <v>0</v>
      </c>
      <c r="H64" s="78" t="s">
        <v>0</v>
      </c>
      <c r="I64" s="78"/>
      <c r="J64" s="78"/>
      <c r="K64" s="39" t="s">
        <v>0</v>
      </c>
      <c r="L64" s="39" t="s">
        <v>0</v>
      </c>
      <c r="M64" s="39" t="s">
        <v>0</v>
      </c>
      <c r="N64" s="39" t="s">
        <v>0</v>
      </c>
      <c r="O64" s="39" t="s">
        <v>0</v>
      </c>
      <c r="P64" s="78" t="s">
        <v>0</v>
      </c>
      <c r="Q64" s="78" t="s">
        <v>0</v>
      </c>
      <c r="R64" s="78" t="s">
        <v>0</v>
      </c>
      <c r="S64" s="78"/>
      <c r="T64" s="78"/>
    </row>
    <row r="65" spans="2:20" ht="24.95" customHeight="1" x14ac:dyDescent="0.3">
      <c r="B65" s="78" t="s">
        <v>150</v>
      </c>
      <c r="C65" s="78" t="s">
        <v>69</v>
      </c>
      <c r="D65" s="78" t="s">
        <v>144</v>
      </c>
      <c r="E65" s="39" t="s">
        <v>151</v>
      </c>
      <c r="F65" s="39" t="s">
        <v>69</v>
      </c>
      <c r="G65" s="78" t="s">
        <v>0</v>
      </c>
      <c r="H65" s="78" t="s">
        <v>0</v>
      </c>
      <c r="I65" s="78" t="s">
        <v>0</v>
      </c>
      <c r="J65" s="78" t="s">
        <v>0</v>
      </c>
      <c r="K65" s="39" t="s">
        <v>69</v>
      </c>
      <c r="L65" s="39" t="s">
        <v>0</v>
      </c>
      <c r="M65" s="39" t="s">
        <v>69</v>
      </c>
      <c r="N65" s="78" t="s">
        <v>55</v>
      </c>
      <c r="O65" s="78" t="s">
        <v>69</v>
      </c>
      <c r="P65" s="78" t="s">
        <v>0</v>
      </c>
      <c r="Q65" s="78" t="s">
        <v>0</v>
      </c>
      <c r="R65" s="78" t="s">
        <v>69</v>
      </c>
      <c r="S65" s="78" t="s">
        <v>69</v>
      </c>
      <c r="T65" s="79">
        <f>250000*V1</f>
        <v>250000</v>
      </c>
    </row>
    <row r="66" spans="2:20" ht="24.95" customHeight="1" x14ac:dyDescent="0.3">
      <c r="B66" s="78" t="s">
        <v>150</v>
      </c>
      <c r="C66" s="78" t="s">
        <v>0</v>
      </c>
      <c r="D66" s="78" t="s">
        <v>0</v>
      </c>
      <c r="E66" s="39" t="s">
        <v>0</v>
      </c>
      <c r="F66" s="39" t="s">
        <v>69</v>
      </c>
      <c r="G66" s="39" t="s">
        <v>0</v>
      </c>
      <c r="H66" s="39" t="s">
        <v>0</v>
      </c>
      <c r="I66" s="39" t="s">
        <v>0</v>
      </c>
      <c r="J66" s="39" t="s">
        <v>0</v>
      </c>
      <c r="K66" s="39" t="s">
        <v>69</v>
      </c>
      <c r="L66" s="39" t="s">
        <v>0</v>
      </c>
      <c r="M66" s="39" t="s">
        <v>69</v>
      </c>
      <c r="N66" s="78" t="s">
        <v>0</v>
      </c>
      <c r="O66" s="78" t="s">
        <v>0</v>
      </c>
      <c r="P66" s="78" t="s">
        <v>0</v>
      </c>
      <c r="Q66" s="78" t="s">
        <v>0</v>
      </c>
      <c r="R66" s="78" t="s">
        <v>0</v>
      </c>
      <c r="S66" s="78"/>
      <c r="T66" s="78"/>
    </row>
    <row r="67" spans="2:20" ht="24.95" customHeight="1" x14ac:dyDescent="0.3">
      <c r="B67" s="78" t="s">
        <v>150</v>
      </c>
      <c r="C67" s="39" t="s">
        <v>70</v>
      </c>
      <c r="D67" s="80" t="s">
        <v>0</v>
      </c>
      <c r="E67" s="78" t="s">
        <v>0</v>
      </c>
      <c r="F67" s="78" t="s">
        <v>0</v>
      </c>
      <c r="G67" s="78" t="s">
        <v>0</v>
      </c>
      <c r="H67" s="78" t="s">
        <v>0</v>
      </c>
      <c r="I67" s="78"/>
      <c r="J67" s="78"/>
      <c r="K67" s="39" t="s">
        <v>0</v>
      </c>
      <c r="L67" s="39" t="s">
        <v>0</v>
      </c>
      <c r="M67" s="39" t="s">
        <v>0</v>
      </c>
      <c r="N67" s="39" t="s">
        <v>0</v>
      </c>
      <c r="O67" s="39" t="s">
        <v>0</v>
      </c>
      <c r="P67" s="78" t="s">
        <v>0</v>
      </c>
      <c r="Q67" s="78" t="s">
        <v>0</v>
      </c>
      <c r="R67" s="78" t="s">
        <v>0</v>
      </c>
      <c r="S67" s="78"/>
      <c r="T67" s="78"/>
    </row>
    <row r="68" spans="2:20" ht="24.95" customHeight="1" x14ac:dyDescent="0.3">
      <c r="B68" s="78" t="s">
        <v>152</v>
      </c>
      <c r="C68" s="78" t="s">
        <v>69</v>
      </c>
      <c r="D68" s="78" t="s">
        <v>144</v>
      </c>
      <c r="E68" s="39" t="s">
        <v>153</v>
      </c>
      <c r="F68" s="39" t="s">
        <v>69</v>
      </c>
      <c r="G68" s="78" t="s">
        <v>0</v>
      </c>
      <c r="H68" s="78" t="s">
        <v>0</v>
      </c>
      <c r="I68" s="78" t="s">
        <v>0</v>
      </c>
      <c r="J68" s="78" t="s">
        <v>0</v>
      </c>
      <c r="K68" s="39" t="s">
        <v>69</v>
      </c>
      <c r="L68" s="39" t="s">
        <v>0</v>
      </c>
      <c r="M68" s="39" t="s">
        <v>69</v>
      </c>
      <c r="N68" s="78" t="s">
        <v>55</v>
      </c>
      <c r="O68" s="78" t="s">
        <v>69</v>
      </c>
      <c r="P68" s="78" t="s">
        <v>0</v>
      </c>
      <c r="Q68" s="78" t="s">
        <v>0</v>
      </c>
      <c r="R68" s="78" t="s">
        <v>69</v>
      </c>
      <c r="S68" s="78" t="s">
        <v>69</v>
      </c>
      <c r="T68" s="79">
        <f>200000*V1</f>
        <v>200000</v>
      </c>
    </row>
    <row r="69" spans="2:20" ht="24.95" customHeight="1" x14ac:dyDescent="0.3">
      <c r="B69" s="78" t="s">
        <v>152</v>
      </c>
      <c r="C69" s="78" t="s">
        <v>0</v>
      </c>
      <c r="D69" s="78" t="s">
        <v>0</v>
      </c>
      <c r="E69" s="39" t="s">
        <v>0</v>
      </c>
      <c r="F69" s="39" t="s">
        <v>69</v>
      </c>
      <c r="G69" s="39" t="s">
        <v>0</v>
      </c>
      <c r="H69" s="39" t="s">
        <v>0</v>
      </c>
      <c r="I69" s="39" t="s">
        <v>0</v>
      </c>
      <c r="J69" s="39" t="s">
        <v>0</v>
      </c>
      <c r="K69" s="39" t="s">
        <v>69</v>
      </c>
      <c r="L69" s="39" t="s">
        <v>0</v>
      </c>
      <c r="M69" s="39" t="s">
        <v>69</v>
      </c>
      <c r="N69" s="78" t="s">
        <v>0</v>
      </c>
      <c r="O69" s="78" t="s">
        <v>0</v>
      </c>
      <c r="P69" s="78" t="s">
        <v>0</v>
      </c>
      <c r="Q69" s="78" t="s">
        <v>0</v>
      </c>
      <c r="R69" s="78" t="s">
        <v>0</v>
      </c>
      <c r="S69" s="78"/>
      <c r="T69" s="78"/>
    </row>
    <row r="70" spans="2:20" ht="24.95" customHeight="1" x14ac:dyDescent="0.3">
      <c r="B70" s="78" t="s">
        <v>152</v>
      </c>
      <c r="C70" s="39" t="s">
        <v>70</v>
      </c>
      <c r="D70" s="80" t="s">
        <v>0</v>
      </c>
      <c r="E70" s="78" t="s">
        <v>0</v>
      </c>
      <c r="F70" s="78" t="s">
        <v>0</v>
      </c>
      <c r="G70" s="78" t="s">
        <v>0</v>
      </c>
      <c r="H70" s="78" t="s">
        <v>0</v>
      </c>
      <c r="I70" s="78"/>
      <c r="J70" s="78"/>
      <c r="K70" s="39" t="s">
        <v>0</v>
      </c>
      <c r="L70" s="39" t="s">
        <v>0</v>
      </c>
      <c r="M70" s="39" t="s">
        <v>0</v>
      </c>
      <c r="N70" s="39" t="s">
        <v>0</v>
      </c>
      <c r="O70" s="39" t="s">
        <v>0</v>
      </c>
      <c r="P70" s="78" t="s">
        <v>0</v>
      </c>
      <c r="Q70" s="78" t="s">
        <v>0</v>
      </c>
      <c r="R70" s="78" t="s">
        <v>0</v>
      </c>
      <c r="S70" s="78"/>
      <c r="T70" s="78"/>
    </row>
    <row r="71" spans="2:20" ht="24.95" customHeight="1" x14ac:dyDescent="0.3">
      <c r="B71" s="81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3"/>
      <c r="R71" s="81" t="s">
        <v>20</v>
      </c>
      <c r="S71" s="83"/>
      <c r="T71" s="40">
        <f>SUM(T14:T70)</f>
        <v>8175150</v>
      </c>
    </row>
    <row r="72" spans="2:20" x14ac:dyDescent="0.3">
      <c r="B72" s="30" t="s">
        <v>16</v>
      </c>
      <c r="C72" s="31"/>
      <c r="D72" s="31"/>
      <c r="E72" s="32" t="s">
        <v>0</v>
      </c>
      <c r="F72" s="33" t="s">
        <v>0</v>
      </c>
      <c r="G72" s="33" t="s">
        <v>0</v>
      </c>
      <c r="H72" s="33" t="s">
        <v>0</v>
      </c>
      <c r="I72" s="33"/>
      <c r="J72" s="33"/>
      <c r="K72" s="33" t="s">
        <v>0</v>
      </c>
      <c r="L72" s="34" t="s">
        <v>0</v>
      </c>
      <c r="M72" s="34" t="s">
        <v>0</v>
      </c>
      <c r="N72" s="34" t="s">
        <v>0</v>
      </c>
      <c r="O72" s="34" t="s">
        <v>0</v>
      </c>
      <c r="P72" s="34" t="s">
        <v>0</v>
      </c>
      <c r="Q72" s="34" t="s">
        <v>0</v>
      </c>
      <c r="R72" s="84" t="s">
        <v>35</v>
      </c>
      <c r="S72" s="84"/>
      <c r="T72" s="40">
        <f>ROUND(T71*0.1,0)</f>
        <v>817515</v>
      </c>
    </row>
    <row r="73" spans="2:20" x14ac:dyDescent="0.3">
      <c r="B73" s="41" t="s">
        <v>0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8"/>
    </row>
    <row r="74" spans="2:20" x14ac:dyDescent="0.3">
      <c r="B74" s="17"/>
      <c r="T74" s="10"/>
    </row>
    <row r="75" spans="2:20" x14ac:dyDescent="0.3">
      <c r="B75" s="17"/>
      <c r="T75" s="10"/>
    </row>
    <row r="76" spans="2:20" x14ac:dyDescent="0.3">
      <c r="B76" s="17"/>
      <c r="T76" s="10"/>
    </row>
    <row r="77" spans="2:20" x14ac:dyDescent="0.3">
      <c r="B77" s="17"/>
      <c r="T77" s="10"/>
    </row>
    <row r="78" spans="2:20" x14ac:dyDescent="0.3">
      <c r="B78" s="42" t="s">
        <v>154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1"/>
    </row>
  </sheetData>
  <mergeCells count="284">
    <mergeCell ref="T68:T70"/>
    <mergeCell ref="D70:J70"/>
    <mergeCell ref="B71:Q71"/>
    <mergeCell ref="R71:S71"/>
    <mergeCell ref="R72:S72"/>
    <mergeCell ref="N68:N69"/>
    <mergeCell ref="O68:O69"/>
    <mergeCell ref="P68:P70"/>
    <mergeCell ref="Q68:Q70"/>
    <mergeCell ref="R68:R70"/>
    <mergeCell ref="S68:S70"/>
    <mergeCell ref="Q65:Q67"/>
    <mergeCell ref="R65:R67"/>
    <mergeCell ref="S65:S67"/>
    <mergeCell ref="T65:T67"/>
    <mergeCell ref="D67:J67"/>
    <mergeCell ref="B68:B70"/>
    <mergeCell ref="C68:C69"/>
    <mergeCell ref="D68:D69"/>
    <mergeCell ref="G68:H68"/>
    <mergeCell ref="I68:J68"/>
    <mergeCell ref="T62:T64"/>
    <mergeCell ref="D64:J64"/>
    <mergeCell ref="B65:B67"/>
    <mergeCell ref="C65:C66"/>
    <mergeCell ref="D65:D66"/>
    <mergeCell ref="G65:H65"/>
    <mergeCell ref="I65:J65"/>
    <mergeCell ref="N65:N66"/>
    <mergeCell ref="O65:O66"/>
    <mergeCell ref="P65:P67"/>
    <mergeCell ref="N62:N63"/>
    <mergeCell ref="O62:O63"/>
    <mergeCell ref="P62:P64"/>
    <mergeCell ref="Q62:Q64"/>
    <mergeCell ref="R62:R64"/>
    <mergeCell ref="S62:S64"/>
    <mergeCell ref="Q59:Q61"/>
    <mergeCell ref="R59:R61"/>
    <mergeCell ref="S59:S61"/>
    <mergeCell ref="T59:T61"/>
    <mergeCell ref="D61:J61"/>
    <mergeCell ref="B62:B64"/>
    <mergeCell ref="C62:C63"/>
    <mergeCell ref="D62:D63"/>
    <mergeCell ref="G62:H62"/>
    <mergeCell ref="I62:J62"/>
    <mergeCell ref="T56:T58"/>
    <mergeCell ref="D58:J58"/>
    <mergeCell ref="B59:B61"/>
    <mergeCell ref="C59:C60"/>
    <mergeCell ref="D59:D60"/>
    <mergeCell ref="G59:H59"/>
    <mergeCell ref="I59:J59"/>
    <mergeCell ref="N59:N60"/>
    <mergeCell ref="O59:O60"/>
    <mergeCell ref="P59:P61"/>
    <mergeCell ref="N56:N57"/>
    <mergeCell ref="O56:O57"/>
    <mergeCell ref="P56:P58"/>
    <mergeCell ref="Q56:Q58"/>
    <mergeCell ref="R56:R58"/>
    <mergeCell ref="S56:S58"/>
    <mergeCell ref="Q53:Q55"/>
    <mergeCell ref="R53:R55"/>
    <mergeCell ref="S53:S55"/>
    <mergeCell ref="T53:T55"/>
    <mergeCell ref="D55:J55"/>
    <mergeCell ref="B56:B58"/>
    <mergeCell ref="C56:C57"/>
    <mergeCell ref="D56:D57"/>
    <mergeCell ref="G56:H56"/>
    <mergeCell ref="I56:J56"/>
    <mergeCell ref="T50:T52"/>
    <mergeCell ref="D52:J52"/>
    <mergeCell ref="B53:B55"/>
    <mergeCell ref="C53:C54"/>
    <mergeCell ref="D53:D54"/>
    <mergeCell ref="G53:H53"/>
    <mergeCell ref="I53:J53"/>
    <mergeCell ref="N53:N54"/>
    <mergeCell ref="O53:O54"/>
    <mergeCell ref="P53:P55"/>
    <mergeCell ref="N50:N51"/>
    <mergeCell ref="O50:O51"/>
    <mergeCell ref="P50:P52"/>
    <mergeCell ref="Q50:Q52"/>
    <mergeCell ref="R50:R52"/>
    <mergeCell ref="S50:S52"/>
    <mergeCell ref="Q47:Q49"/>
    <mergeCell ref="R47:R49"/>
    <mergeCell ref="S47:S49"/>
    <mergeCell ref="T47:T49"/>
    <mergeCell ref="D49:J49"/>
    <mergeCell ref="B50:B52"/>
    <mergeCell ref="C50:C51"/>
    <mergeCell ref="D50:D51"/>
    <mergeCell ref="G50:H50"/>
    <mergeCell ref="I50:J50"/>
    <mergeCell ref="T44:T46"/>
    <mergeCell ref="D46:J46"/>
    <mergeCell ref="B47:B49"/>
    <mergeCell ref="C47:C48"/>
    <mergeCell ref="D47:D48"/>
    <mergeCell ref="G47:H47"/>
    <mergeCell ref="I47:J47"/>
    <mergeCell ref="N47:N48"/>
    <mergeCell ref="O47:O48"/>
    <mergeCell ref="P47:P49"/>
    <mergeCell ref="N44:N45"/>
    <mergeCell ref="O44:O45"/>
    <mergeCell ref="P44:P46"/>
    <mergeCell ref="Q44:Q46"/>
    <mergeCell ref="R44:R46"/>
    <mergeCell ref="S44:S46"/>
    <mergeCell ref="Q41:Q43"/>
    <mergeCell ref="R41:R43"/>
    <mergeCell ref="S41:S43"/>
    <mergeCell ref="T41:T43"/>
    <mergeCell ref="D43:J43"/>
    <mergeCell ref="B44:B46"/>
    <mergeCell ref="C44:C45"/>
    <mergeCell ref="D44:D45"/>
    <mergeCell ref="G44:H44"/>
    <mergeCell ref="I44:J44"/>
    <mergeCell ref="T38:T40"/>
    <mergeCell ref="D40:J40"/>
    <mergeCell ref="B41:B43"/>
    <mergeCell ref="C41:C42"/>
    <mergeCell ref="D41:D42"/>
    <mergeCell ref="G41:H41"/>
    <mergeCell ref="I41:J41"/>
    <mergeCell ref="N41:N42"/>
    <mergeCell ref="O41:O42"/>
    <mergeCell ref="P41:P43"/>
    <mergeCell ref="N38:N39"/>
    <mergeCell ref="O38:O39"/>
    <mergeCell ref="P38:P40"/>
    <mergeCell ref="Q38:Q40"/>
    <mergeCell ref="R38:R40"/>
    <mergeCell ref="S38:S40"/>
    <mergeCell ref="Q35:Q37"/>
    <mergeCell ref="R35:R37"/>
    <mergeCell ref="S35:S37"/>
    <mergeCell ref="T35:T37"/>
    <mergeCell ref="D37:J37"/>
    <mergeCell ref="B38:B40"/>
    <mergeCell ref="C38:C39"/>
    <mergeCell ref="D38:D39"/>
    <mergeCell ref="G38:H38"/>
    <mergeCell ref="I38:J38"/>
    <mergeCell ref="T32:T34"/>
    <mergeCell ref="D34:J34"/>
    <mergeCell ref="B35:B37"/>
    <mergeCell ref="C35:C36"/>
    <mergeCell ref="D35:D36"/>
    <mergeCell ref="G35:H35"/>
    <mergeCell ref="I35:J35"/>
    <mergeCell ref="N35:N36"/>
    <mergeCell ref="O35:O36"/>
    <mergeCell ref="P35:P37"/>
    <mergeCell ref="N32:N33"/>
    <mergeCell ref="O32:O33"/>
    <mergeCell ref="P32:P34"/>
    <mergeCell ref="Q32:Q34"/>
    <mergeCell ref="R32:R34"/>
    <mergeCell ref="S32:S34"/>
    <mergeCell ref="Q29:Q31"/>
    <mergeCell ref="R29:R31"/>
    <mergeCell ref="S29:S31"/>
    <mergeCell ref="T29:T31"/>
    <mergeCell ref="D31:J31"/>
    <mergeCell ref="B32:B34"/>
    <mergeCell ref="C32:C33"/>
    <mergeCell ref="D32:D33"/>
    <mergeCell ref="G32:H32"/>
    <mergeCell ref="I32:J32"/>
    <mergeCell ref="T26:T28"/>
    <mergeCell ref="D28:J28"/>
    <mergeCell ref="B29:B31"/>
    <mergeCell ref="C29:C30"/>
    <mergeCell ref="D29:D30"/>
    <mergeCell ref="G29:H29"/>
    <mergeCell ref="I29:J29"/>
    <mergeCell ref="N29:N30"/>
    <mergeCell ref="O29:O30"/>
    <mergeCell ref="P29:P31"/>
    <mergeCell ref="N26:N27"/>
    <mergeCell ref="O26:O27"/>
    <mergeCell ref="P26:P28"/>
    <mergeCell ref="Q26:Q28"/>
    <mergeCell ref="R26:R28"/>
    <mergeCell ref="S26:S28"/>
    <mergeCell ref="Q23:Q25"/>
    <mergeCell ref="R23:R25"/>
    <mergeCell ref="S23:S25"/>
    <mergeCell ref="T23:T25"/>
    <mergeCell ref="D25:J25"/>
    <mergeCell ref="B26:B28"/>
    <mergeCell ref="C26:C27"/>
    <mergeCell ref="D26:D27"/>
    <mergeCell ref="G26:H26"/>
    <mergeCell ref="I26:J26"/>
    <mergeCell ref="T20:T22"/>
    <mergeCell ref="D22:J22"/>
    <mergeCell ref="B23:B25"/>
    <mergeCell ref="C23:C24"/>
    <mergeCell ref="D23:D24"/>
    <mergeCell ref="G23:H23"/>
    <mergeCell ref="I23:J23"/>
    <mergeCell ref="N23:N24"/>
    <mergeCell ref="O23:O24"/>
    <mergeCell ref="P23:P25"/>
    <mergeCell ref="N20:N21"/>
    <mergeCell ref="O20:O21"/>
    <mergeCell ref="P20:P22"/>
    <mergeCell ref="Q20:Q22"/>
    <mergeCell ref="R20:R22"/>
    <mergeCell ref="S20:S22"/>
    <mergeCell ref="D19:J19"/>
    <mergeCell ref="B20:B22"/>
    <mergeCell ref="C20:C21"/>
    <mergeCell ref="D20:D21"/>
    <mergeCell ref="G20:H20"/>
    <mergeCell ref="I20:J20"/>
    <mergeCell ref="O17:O18"/>
    <mergeCell ref="P17:P19"/>
    <mergeCell ref="Q17:Q19"/>
    <mergeCell ref="R17:R19"/>
    <mergeCell ref="S17:S19"/>
    <mergeCell ref="T17:T19"/>
    <mergeCell ref="R14:R16"/>
    <mergeCell ref="S14:S16"/>
    <mergeCell ref="T14:T16"/>
    <mergeCell ref="D16:J16"/>
    <mergeCell ref="B17:B19"/>
    <mergeCell ref="C17:C18"/>
    <mergeCell ref="D17:D18"/>
    <mergeCell ref="G17:H17"/>
    <mergeCell ref="I17:J17"/>
    <mergeCell ref="N17:N18"/>
    <mergeCell ref="T12:T13"/>
    <mergeCell ref="B14:B16"/>
    <mergeCell ref="C14:C15"/>
    <mergeCell ref="D14:D15"/>
    <mergeCell ref="G14:H14"/>
    <mergeCell ref="I14:J14"/>
    <mergeCell ref="N14:N15"/>
    <mergeCell ref="O14:O15"/>
    <mergeCell ref="P14:P16"/>
    <mergeCell ref="Q14:Q16"/>
    <mergeCell ref="I12:J12"/>
    <mergeCell ref="N12:N13"/>
    <mergeCell ref="P12:P13"/>
    <mergeCell ref="Q12:Q13"/>
    <mergeCell ref="R12:R13"/>
    <mergeCell ref="S12:S13"/>
    <mergeCell ref="B12:B13"/>
    <mergeCell ref="C12:C13"/>
    <mergeCell ref="D12:D13"/>
    <mergeCell ref="E12:E13"/>
    <mergeCell ref="F12:F13"/>
    <mergeCell ref="G12:H12"/>
    <mergeCell ref="B9:C9"/>
    <mergeCell ref="D9:F9"/>
    <mergeCell ref="H9:K9"/>
    <mergeCell ref="N9:Q9"/>
    <mergeCell ref="R9:T9"/>
    <mergeCell ref="B11:C11"/>
    <mergeCell ref="R6:T6"/>
    <mergeCell ref="B7:C7"/>
    <mergeCell ref="D7:K7"/>
    <mergeCell ref="N7:Q7"/>
    <mergeCell ref="R7:T7"/>
    <mergeCell ref="B8:C8"/>
    <mergeCell ref="D8:K8"/>
    <mergeCell ref="N8:Q8"/>
    <mergeCell ref="R8:T8"/>
    <mergeCell ref="B1:M4"/>
    <mergeCell ref="B5:C5"/>
    <mergeCell ref="B6:C6"/>
    <mergeCell ref="D6:F6"/>
    <mergeCell ref="H6:K6"/>
    <mergeCell ref="N6:Q6"/>
  </mergeCells>
  <phoneticPr fontId="2" type="noConversion"/>
  <pageMargins left="0.25" right="0.25" top="0.75" bottom="0.75" header="0.3" footer="0.3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견적서</vt:lpstr>
      <vt:lpstr>견적서 (2)</vt:lpstr>
      <vt:lpstr>견적서!Print_Area</vt:lpstr>
      <vt:lpstr>'견적서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jihoon kim</cp:lastModifiedBy>
  <cp:lastPrinted>2025-06-11T01:16:06Z</cp:lastPrinted>
  <dcterms:created xsi:type="dcterms:W3CDTF">2022-07-01T02:28:29Z</dcterms:created>
  <dcterms:modified xsi:type="dcterms:W3CDTF">2026-01-16T08:55:45Z</dcterms:modified>
</cp:coreProperties>
</file>